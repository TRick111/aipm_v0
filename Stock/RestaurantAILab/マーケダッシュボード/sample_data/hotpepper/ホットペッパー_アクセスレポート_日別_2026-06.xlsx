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>
    <mc:Choice Requires="x15">
      <x15ac:absPath xmlns:x15ac="http://schemas.microsoft.com/office/spreadsheetml/2010/11/ac" url="C:\var\dev\ws_dev\HPG-dev-local-configure\webapp_contents\hthome\hpj\DEV\DEV_OPEN\CLP\excel\"/>
    </mc:Choice>
  </mc:AlternateContent>
  <xr:revisionPtr revIDLastSave="0" documentId="13_ncr:1_{193223E4-4DB8-4993-9B40-3C629DCFC4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日次クライアントレポート" sheetId="1" r:id="rId1"/>
  </sheets>
  <definedNames>
    <definedName name="_xlnm.Print_Area" localSheetId="0">日次クライアントレポート!$A$1:$AE$109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H102" i="1"/>
  <c r="H101" i="1"/>
  <c r="H100" i="1"/>
  <c r="H99" i="1"/>
  <c r="H98" i="1"/>
  <c r="H97" i="1"/>
  <c r="I102" i="1"/>
  <c r="I101" i="1"/>
  <c r="I100" i="1"/>
  <c r="I99" i="1"/>
  <c r="I98" i="1"/>
  <c r="I97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R80" i="1"/>
  <c r="B53" i="1"/>
  <c r="C53" i="1" s="1"/>
  <c r="R52" i="1"/>
  <c r="X52" i="1"/>
  <c r="Y52" i="1"/>
  <c r="R53" i="1"/>
  <c r="X53" i="1"/>
  <c r="Y53" i="1"/>
  <c r="R54" i="1"/>
  <c r="X54" i="1"/>
  <c r="Y54" i="1"/>
  <c r="C52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AC94" i="1"/>
  <c r="Y102" i="1"/>
  <c r="X102" i="1"/>
  <c r="Y101" i="1"/>
  <c r="X101" i="1"/>
  <c r="Y100" i="1"/>
  <c r="X100" i="1"/>
  <c r="Y99" i="1"/>
  <c r="X99" i="1"/>
  <c r="Y98" i="1"/>
  <c r="X98" i="1"/>
  <c r="Y97" i="1"/>
  <c r="X97" i="1"/>
  <c r="AA94" i="1"/>
  <c r="Z94" i="1"/>
  <c r="W94" i="1"/>
  <c r="V94" i="1"/>
  <c r="U94" i="1"/>
  <c r="Y94" i="1" s="1"/>
  <c r="T94" i="1"/>
  <c r="S94" i="1"/>
  <c r="Y93" i="1"/>
  <c r="X93" i="1"/>
  <c r="Y92" i="1"/>
  <c r="X92" i="1"/>
  <c r="Y91" i="1"/>
  <c r="X91" i="1"/>
  <c r="Y90" i="1"/>
  <c r="X90" i="1"/>
  <c r="Y89" i="1"/>
  <c r="X89" i="1"/>
  <c r="Y88" i="1"/>
  <c r="X88" i="1"/>
  <c r="Y87" i="1"/>
  <c r="X87" i="1"/>
  <c r="Y79" i="1"/>
  <c r="X79" i="1"/>
  <c r="R79" i="1"/>
  <c r="Y78" i="1"/>
  <c r="X78" i="1"/>
  <c r="R78" i="1"/>
  <c r="Y77" i="1"/>
  <c r="X77" i="1"/>
  <c r="R77" i="1"/>
  <c r="Y76" i="1"/>
  <c r="X76" i="1"/>
  <c r="R76" i="1"/>
  <c r="Y75" i="1"/>
  <c r="X75" i="1"/>
  <c r="R75" i="1"/>
  <c r="Y74" i="1"/>
  <c r="X74" i="1"/>
  <c r="R74" i="1"/>
  <c r="Y73" i="1"/>
  <c r="X73" i="1"/>
  <c r="R73" i="1"/>
  <c r="Y72" i="1"/>
  <c r="X72" i="1"/>
  <c r="R72" i="1"/>
  <c r="Y71" i="1"/>
  <c r="X71" i="1"/>
  <c r="R71" i="1"/>
  <c r="Y70" i="1"/>
  <c r="X70" i="1"/>
  <c r="R70" i="1"/>
  <c r="Y69" i="1"/>
  <c r="X69" i="1"/>
  <c r="R69" i="1"/>
  <c r="Y68" i="1"/>
  <c r="X68" i="1"/>
  <c r="R68" i="1"/>
  <c r="Y67" i="1"/>
  <c r="X67" i="1"/>
  <c r="R67" i="1"/>
  <c r="Y66" i="1"/>
  <c r="X66" i="1"/>
  <c r="R66" i="1"/>
  <c r="Y65" i="1"/>
  <c r="X65" i="1"/>
  <c r="R65" i="1"/>
  <c r="Y64" i="1"/>
  <c r="X64" i="1"/>
  <c r="R64" i="1"/>
  <c r="Y63" i="1"/>
  <c r="X63" i="1"/>
  <c r="R63" i="1"/>
  <c r="Y62" i="1"/>
  <c r="X62" i="1"/>
  <c r="R62" i="1"/>
  <c r="Y61" i="1"/>
  <c r="X61" i="1"/>
  <c r="R61" i="1"/>
  <c r="Y60" i="1"/>
  <c r="X60" i="1"/>
  <c r="R60" i="1"/>
  <c r="Y59" i="1"/>
  <c r="X59" i="1"/>
  <c r="R59" i="1"/>
  <c r="Y58" i="1"/>
  <c r="X58" i="1"/>
  <c r="R58" i="1"/>
  <c r="Y57" i="1"/>
  <c r="X57" i="1"/>
  <c r="R57" i="1"/>
  <c r="Y56" i="1"/>
  <c r="X56" i="1"/>
  <c r="R56" i="1"/>
  <c r="Y55" i="1"/>
  <c r="X55" i="1"/>
  <c r="R55" i="1"/>
  <c r="AH94" i="1"/>
  <c r="AD94" i="1"/>
  <c r="F94" i="1"/>
  <c r="E94" i="1"/>
  <c r="G94" i="1"/>
  <c r="D94" i="1"/>
  <c r="X94" i="1" l="1"/>
  <c r="B54" i="1"/>
  <c r="B55" i="1" s="1"/>
  <c r="B56" i="1" s="1"/>
  <c r="C55" i="1"/>
  <c r="C54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C62" i="1" l="1"/>
  <c r="B63" i="1"/>
  <c r="C63" i="1" l="1"/>
  <c r="B64" i="1"/>
  <c r="C64" i="1" l="1"/>
  <c r="B65" i="1"/>
  <c r="C65" i="1" l="1"/>
  <c r="B66" i="1"/>
  <c r="C66" i="1" l="1"/>
  <c r="B67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C78" i="1" l="1"/>
  <c r="B79" i="1"/>
  <c r="C79" i="1" l="1"/>
  <c r="B80" i="1"/>
  <c r="C80" i="1" l="1"/>
  <c r="B81" i="1"/>
  <c r="C81" i="1" l="1"/>
  <c r="B82" i="1"/>
  <c r="C82" i="1" l="1"/>
  <c r="B83" i="1"/>
  <c r="B84" i="1" l="1"/>
  <c r="C83" i="1"/>
  <c r="B85" i="1" l="1"/>
  <c r="C84" i="1"/>
  <c r="C85" i="1" l="1"/>
  <c r="B86" i="1"/>
  <c r="B87" i="1" l="1"/>
  <c r="C86" i="1"/>
  <c r="C87" i="1" l="1"/>
  <c r="B88" i="1"/>
  <c r="C88" i="1" l="1"/>
  <c r="B89" i="1"/>
  <c r="B90" i="1" l="1"/>
  <c r="C89" i="1"/>
  <c r="B91" i="1" l="1"/>
  <c r="C90" i="1"/>
  <c r="C91" i="1" l="1"/>
  <c r="B92" i="1"/>
  <c r="C92" i="1" l="1"/>
  <c r="B93" i="1"/>
  <c r="C93" i="1" s="1"/>
</calcChain>
</file>

<file path=xl/sharedStrings.xml><?xml version="1.0" encoding="utf-8"?>
<sst xmlns="http://schemas.openxmlformats.org/spreadsheetml/2006/main" count="82" uniqueCount="55">
  <si>
    <t>曜日</t>
    <rPh sb="0" eb="2">
      <t>ヨウビ</t>
    </rPh>
    <phoneticPr fontId="2"/>
  </si>
  <si>
    <t>予約件数</t>
    <rPh sb="0" eb="2">
      <t>ヨヤク</t>
    </rPh>
    <rPh sb="2" eb="4">
      <t>ケンスウ</t>
    </rPh>
    <phoneticPr fontId="2"/>
  </si>
  <si>
    <t>貴店名</t>
    <rPh sb="0" eb="2">
      <t>キテン</t>
    </rPh>
    <rPh sb="2" eb="3">
      <t>メイ</t>
    </rPh>
    <phoneticPr fontId="4"/>
  </si>
  <si>
    <t>ご掲載CD</t>
    <rPh sb="1" eb="3">
      <t>ケイサイ</t>
    </rPh>
    <phoneticPr fontId="4"/>
  </si>
  <si>
    <t>ジャンル</t>
    <phoneticPr fontId="4"/>
  </si>
  <si>
    <t>掲載月号</t>
    <rPh sb="0" eb="2">
      <t>ケイサイ</t>
    </rPh>
    <rPh sb="2" eb="4">
      <t>ガツゴウ</t>
    </rPh>
    <phoneticPr fontId="4"/>
  </si>
  <si>
    <t>ご掲載エリア</t>
    <rPh sb="1" eb="3">
      <t>ケイサイ</t>
    </rPh>
    <phoneticPr fontId="4"/>
  </si>
  <si>
    <t>ご掲載プラン</t>
    <rPh sb="1" eb="3">
      <t>ケイサイ</t>
    </rPh>
    <phoneticPr fontId="4"/>
  </si>
  <si>
    <t>総席数</t>
    <rPh sb="0" eb="1">
      <t>ソウ</t>
    </rPh>
    <rPh sb="1" eb="3">
      <t>セキスウ</t>
    </rPh>
    <phoneticPr fontId="4"/>
  </si>
  <si>
    <t>エリア平均　CVR</t>
    <phoneticPr fontId="2"/>
  </si>
  <si>
    <t>※エリア平均：同プラン・同エリア・同ジャンル平均</t>
    <rPh sb="4" eb="6">
      <t>ヘイキン</t>
    </rPh>
    <rPh sb="7" eb="8">
      <t>ドウ</t>
    </rPh>
    <rPh sb="12" eb="13">
      <t>ドウ</t>
    </rPh>
    <rPh sb="17" eb="18">
      <t>ドウ</t>
    </rPh>
    <rPh sb="22" eb="24">
      <t>ヘイキン</t>
    </rPh>
    <phoneticPr fontId="2"/>
  </si>
  <si>
    <t>日付</t>
    <rPh sb="0" eb="2">
      <t>ヒヅケ</t>
    </rPh>
    <phoneticPr fontId="2"/>
  </si>
  <si>
    <t>合計</t>
    <rPh sb="0" eb="2">
      <t>ゴウケイ</t>
    </rPh>
    <phoneticPr fontId="2"/>
  </si>
  <si>
    <t>合計</t>
    <rPh sb="0" eb="2">
      <t>ゴウケイ</t>
    </rPh>
    <phoneticPr fontId="2"/>
  </si>
  <si>
    <t>【日別推移】</t>
    <rPh sb="1" eb="2">
      <t>ヒ</t>
    </rPh>
    <rPh sb="2" eb="3">
      <t>ベツ</t>
    </rPh>
    <rPh sb="3" eb="5">
      <t>スイイ</t>
    </rPh>
    <phoneticPr fontId="2"/>
  </si>
  <si>
    <t>【月別推移】</t>
    <rPh sb="1" eb="2">
      <t>ツキ</t>
    </rPh>
    <rPh sb="2" eb="3">
      <t>ベツ</t>
    </rPh>
    <rPh sb="3" eb="5">
      <t>スイイ</t>
    </rPh>
    <phoneticPr fontId="2"/>
  </si>
  <si>
    <t>CVR１（クーポン÷店舗TOP）</t>
    <rPh sb="10" eb="12">
      <t>テンポ</t>
    </rPh>
    <phoneticPr fontId="2"/>
  </si>
  <si>
    <t>エリア平均  CVR１</t>
    <phoneticPr fontId="2"/>
  </si>
  <si>
    <t>弊社担当</t>
    <rPh sb="0" eb="2">
      <t>ヘイシャ</t>
    </rPh>
    <rPh sb="2" eb="4">
      <t>タントウ</t>
    </rPh>
    <phoneticPr fontId="2"/>
  </si>
  <si>
    <t>店舗ページ
合計</t>
    <rPh sb="0" eb="2">
      <t>テンポ</t>
    </rPh>
    <rPh sb="6" eb="8">
      <t>ゴウケイ</t>
    </rPh>
    <phoneticPr fontId="2"/>
  </si>
  <si>
    <t>店舗TOP
ページ</t>
    <rPh sb="0" eb="2">
      <t>テンポ</t>
    </rPh>
    <phoneticPr fontId="2"/>
  </si>
  <si>
    <t>エリア平均　店舗TOPページ</t>
    <rPh sb="3" eb="5">
      <t>ヘイキン</t>
    </rPh>
    <rPh sb="6" eb="8">
      <t>テンポ</t>
    </rPh>
    <phoneticPr fontId="2"/>
  </si>
  <si>
    <t>地図クーポンページ</t>
    <rPh sb="0" eb="2">
      <t>チズ</t>
    </rPh>
    <phoneticPr fontId="2"/>
  </si>
  <si>
    <t>エリア平均　店舗TOPページ</t>
    <rPh sb="6" eb="8">
      <t>テンポ</t>
    </rPh>
    <phoneticPr fontId="2"/>
  </si>
  <si>
    <t>クーポンページ</t>
    <phoneticPr fontId="2"/>
  </si>
  <si>
    <t>エリア平均　クーポンページ</t>
    <phoneticPr fontId="2"/>
  </si>
  <si>
    <t>CVR（クーポン÷店舗TOP）</t>
    <rPh sb="9" eb="11">
      <t>テンポ</t>
    </rPh>
    <phoneticPr fontId="2"/>
  </si>
  <si>
    <t>電話ページ</t>
    <rPh sb="0" eb="2">
      <t>デンワ</t>
    </rPh>
    <phoneticPr fontId="2"/>
  </si>
  <si>
    <t>※ページビューの集計ロジックについて</t>
    <rPh sb="8" eb="10">
      <t>シュウケイ</t>
    </rPh>
    <phoneticPr fontId="2"/>
  </si>
  <si>
    <t>2010年5月号より、ページビューの集計方法を変更いたしました（ユーザーからのアクセス以外のものを除外いたしました）</t>
    <rPh sb="4" eb="5">
      <t>ネン</t>
    </rPh>
    <rPh sb="6" eb="8">
      <t>ガツゴウ</t>
    </rPh>
    <rPh sb="18" eb="20">
      <t>シュウケイ</t>
    </rPh>
    <rPh sb="20" eb="22">
      <t>ホウホウ</t>
    </rPh>
    <rPh sb="23" eb="25">
      <t>ヘンコウ</t>
    </rPh>
    <rPh sb="43" eb="45">
      <t>イガイ</t>
    </rPh>
    <rPh sb="49" eb="51">
      <t>ジョガイ</t>
    </rPh>
    <phoneticPr fontId="2"/>
  </si>
  <si>
    <t>これに伴い、旧表記「PV：ページビュー」から新表記「PV（UA）：ページビュー（ユーザーアクセス）」へと変更いたしました。</t>
    <rPh sb="3" eb="4">
      <t>トモナ</t>
    </rPh>
    <rPh sb="6" eb="7">
      <t>キュウ</t>
    </rPh>
    <rPh sb="7" eb="9">
      <t>ヒョウキ</t>
    </rPh>
    <rPh sb="22" eb="23">
      <t>シン</t>
    </rPh>
    <rPh sb="23" eb="25">
      <t>ヒョウキ</t>
    </rPh>
    <rPh sb="52" eb="54">
      <t>ヘンコウ</t>
    </rPh>
    <phoneticPr fontId="2"/>
  </si>
  <si>
    <r>
      <t>PC  PV</t>
    </r>
    <r>
      <rPr>
        <sz val="6"/>
        <color indexed="9"/>
        <rFont val="ＭＳ Ｐゴシック"/>
        <family val="3"/>
        <charset val="128"/>
      </rPr>
      <t>（UA</t>
    </r>
    <r>
      <rPr>
        <vertAlign val="superscript"/>
        <sz val="6"/>
        <color indexed="9"/>
        <rFont val="ＭＳ Ｐゴシック"/>
        <family val="3"/>
        <charset val="128"/>
      </rPr>
      <t>※</t>
    </r>
    <r>
      <rPr>
        <sz val="6"/>
        <color indexed="9"/>
        <rFont val="ＭＳ Ｐゴシック"/>
        <family val="3"/>
        <charset val="128"/>
      </rPr>
      <t>）</t>
    </r>
    <phoneticPr fontId="2"/>
  </si>
  <si>
    <r>
      <t>PC　PV</t>
    </r>
    <r>
      <rPr>
        <b/>
        <sz val="6"/>
        <color indexed="9"/>
        <rFont val="ＭＳ Ｐゴシック"/>
        <family val="3"/>
        <charset val="128"/>
      </rPr>
      <t>（UA</t>
    </r>
    <r>
      <rPr>
        <b/>
        <vertAlign val="superscript"/>
        <sz val="6"/>
        <color indexed="9"/>
        <rFont val="ＭＳ Ｐゴシック"/>
        <family val="3"/>
        <charset val="128"/>
      </rPr>
      <t>※</t>
    </r>
    <r>
      <rPr>
        <b/>
        <sz val="6"/>
        <color indexed="9"/>
        <rFont val="ＭＳ Ｐゴシック"/>
        <family val="3"/>
        <charset val="128"/>
      </rPr>
      <t>）</t>
    </r>
    <phoneticPr fontId="2"/>
  </si>
  <si>
    <t>ホットペッパーコール</t>
    <phoneticPr fontId="2"/>
  </si>
  <si>
    <t>エリア限定</t>
    <rPh sb="3" eb="5">
      <t>ゲンテイ</t>
    </rPh>
    <phoneticPr fontId="2"/>
  </si>
  <si>
    <t>エリア平均　ホットペッパーコール</t>
    <phoneticPr fontId="2"/>
  </si>
  <si>
    <t>エリア平均　PC クーポンページ</t>
    <phoneticPr fontId="2"/>
  </si>
  <si>
    <r>
      <t>SP　PV</t>
    </r>
    <r>
      <rPr>
        <b/>
        <sz val="6"/>
        <color indexed="9"/>
        <rFont val="ＭＳ Ｐゴシック"/>
        <family val="3"/>
        <charset val="128"/>
      </rPr>
      <t>（UA</t>
    </r>
    <r>
      <rPr>
        <b/>
        <vertAlign val="superscript"/>
        <sz val="6"/>
        <color indexed="9"/>
        <rFont val="ＭＳ Ｐゴシック"/>
        <family val="3"/>
        <charset val="128"/>
      </rPr>
      <t>※</t>
    </r>
    <r>
      <rPr>
        <b/>
        <sz val="6"/>
        <color indexed="9"/>
        <rFont val="ＭＳ Ｐゴシック"/>
        <family val="3"/>
        <charset val="128"/>
      </rPr>
      <t>）</t>
    </r>
    <phoneticPr fontId="2"/>
  </si>
  <si>
    <r>
      <t>SP　  PV</t>
    </r>
    <r>
      <rPr>
        <sz val="6"/>
        <color indexed="9"/>
        <rFont val="ＭＳ Ｐゴシック"/>
        <family val="3"/>
        <charset val="128"/>
      </rPr>
      <t>（UA</t>
    </r>
    <r>
      <rPr>
        <vertAlign val="superscript"/>
        <sz val="6"/>
        <color indexed="9"/>
        <rFont val="ＭＳ Ｐゴシック"/>
        <family val="3"/>
        <charset val="128"/>
      </rPr>
      <t>※</t>
    </r>
    <r>
      <rPr>
        <sz val="6"/>
        <color indexed="9"/>
        <rFont val="ＭＳ Ｐゴシック"/>
        <family val="3"/>
        <charset val="128"/>
      </rPr>
      <t>）</t>
    </r>
    <phoneticPr fontId="2"/>
  </si>
  <si>
    <t>PC</t>
    <phoneticPr fontId="2"/>
  </si>
  <si>
    <t>韓国屋台ポックンパ　ネネチキン　東岡崎店</t>
  </si>
  <si>
    <t>岡崎</t>
  </si>
  <si>
    <t>H000550388</t>
  </si>
  <si>
    <t>SSプレミアムプラン</t>
  </si>
  <si>
    <t>居酒屋</t>
  </si>
  <si>
    <t>40</t>
  </si>
  <si>
    <t>飲食　名古屋飲食Ｇ</t>
  </si>
  <si>
    <t>澤里　わかな</t>
  </si>
  <si>
    <t>2606月号</t>
  </si>
  <si>
    <t>2601</t>
  </si>
  <si>
    <t>2602</t>
  </si>
  <si>
    <t>2603</t>
  </si>
  <si>
    <t>2604</t>
  </si>
  <si>
    <t>2605</t>
  </si>
  <si>
    <t>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</si>
</sst>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;@"/>
    <numFmt numFmtId="177" formatCode="aaa"/>
    <numFmt numFmtId="178" formatCode="0.0_ "/>
    <numFmt numFmtId="179" formatCode="#,##0.0_ ;[Red]\-#,##0.0\ "/>
    <numFmt numFmtId="180" formatCode="0_);[Red]\(0\)"/>
    <numFmt numFmtId="181" formatCode="mm/dd"/>
  </numFmts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color indexed="9"/>
      <name val="ＭＳ Ｐゴシック"/>
      <family val="3"/>
      <charset val="128"/>
    </font>
    <font>
      <vertAlign val="superscript"/>
      <sz val="6"/>
      <color indexed="9"/>
      <name val="ＭＳ Ｐゴシック"/>
      <family val="3"/>
      <charset val="128"/>
    </font>
    <font>
      <b/>
      <sz val="6"/>
      <color indexed="9"/>
      <name val="ＭＳ Ｐゴシック"/>
      <family val="3"/>
      <charset val="128"/>
    </font>
    <font>
      <b/>
      <vertAlign val="superscript"/>
      <sz val="6"/>
      <color indexed="9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double">
        <color theme="1" tint="0.499984740745262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1" tint="0.34998626667073579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499984740745262"/>
      </bottom>
      <diagonal/>
    </border>
    <border>
      <left/>
      <right/>
      <top style="double">
        <color theme="0" tint="-0.49998474074526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1" tint="0.34998626667073579"/>
      </top>
      <bottom style="thin">
        <color theme="0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/>
      <top style="thin">
        <color theme="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0"/>
      </bottom>
      <diagonal/>
    </border>
    <border>
      <left/>
      <right style="thin">
        <color theme="1" tint="0.499984740745262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1" tint="0.499984740745262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 tint="0.499984740745262"/>
      </bottom>
      <diagonal/>
    </border>
    <border>
      <left style="hair">
        <color indexed="64"/>
      </left>
      <right/>
      <top style="thin">
        <color theme="1" tint="0.499984740745262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3" fillId="0" borderId="0" xfId="0" applyFont="1" applyBorder="1"/>
    <xf numFmtId="0" fontId="3" fillId="0" borderId="3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176" fontId="9" fillId="2" borderId="4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3" fillId="0" borderId="0" xfId="0" applyFont="1" applyFill="1"/>
    <xf numFmtId="0" fontId="3" fillId="0" borderId="2" xfId="0" applyFont="1" applyFill="1" applyBorder="1" applyAlignment="1">
      <alignment vertical="center"/>
    </xf>
    <xf numFmtId="38" fontId="3" fillId="0" borderId="2" xfId="2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7" fontId="9" fillId="2" borderId="4" xfId="0" applyNumberFormat="1" applyFont="1" applyFill="1" applyBorder="1"/>
    <xf numFmtId="9" fontId="3" fillId="0" borderId="3" xfId="1" applyNumberFormat="1" applyFont="1" applyBorder="1"/>
    <xf numFmtId="9" fontId="3" fillId="4" borderId="3" xfId="1" applyNumberFormat="1" applyFont="1" applyFill="1" applyBorder="1"/>
    <xf numFmtId="178" fontId="3" fillId="4" borderId="3" xfId="0" applyNumberFormat="1" applyFont="1" applyFill="1" applyBorder="1"/>
    <xf numFmtId="179" fontId="3" fillId="4" borderId="3" xfId="2" applyNumberFormat="1" applyFont="1" applyFill="1" applyBorder="1"/>
    <xf numFmtId="0" fontId="12" fillId="0" borderId="0" xfId="0" applyFont="1"/>
    <xf numFmtId="180" fontId="9" fillId="2" borderId="4" xfId="0" applyNumberFormat="1" applyFont="1" applyFill="1" applyBorder="1"/>
    <xf numFmtId="176" fontId="9" fillId="2" borderId="4" xfId="0" applyNumberFormat="1" applyFont="1" applyFill="1" applyBorder="1" applyAlignment="1">
      <alignment horizontal="right"/>
    </xf>
    <xf numFmtId="179" fontId="3" fillId="4" borderId="7" xfId="2" applyNumberFormat="1" applyFont="1" applyFill="1" applyBorder="1"/>
    <xf numFmtId="9" fontId="3" fillId="0" borderId="7" xfId="1" applyNumberFormat="1" applyFont="1" applyBorder="1"/>
    <xf numFmtId="9" fontId="3" fillId="4" borderId="7" xfId="1" applyNumberFormat="1" applyFont="1" applyFill="1" applyBorder="1"/>
    <xf numFmtId="0" fontId="3" fillId="0" borderId="8" xfId="0" applyFont="1" applyBorder="1"/>
    <xf numFmtId="177" fontId="9" fillId="2" borderId="9" xfId="0" applyNumberFormat="1" applyFont="1" applyFill="1" applyBorder="1"/>
    <xf numFmtId="0" fontId="3" fillId="0" borderId="10" xfId="0" applyFont="1" applyBorder="1"/>
    <xf numFmtId="178" fontId="3" fillId="4" borderId="7" xfId="0" applyNumberFormat="1" applyFont="1" applyFill="1" applyBorder="1"/>
    <xf numFmtId="176" fontId="9" fillId="2" borderId="11" xfId="0" applyNumberFormat="1" applyFont="1" applyFill="1" applyBorder="1"/>
    <xf numFmtId="177" fontId="9" fillId="2" borderId="11" xfId="0" applyNumberFormat="1" applyFont="1" applyFill="1" applyBorder="1"/>
    <xf numFmtId="0" fontId="3" fillId="0" borderId="12" xfId="0" applyFont="1" applyBorder="1"/>
    <xf numFmtId="0" fontId="3" fillId="0" borderId="13" xfId="0" applyFont="1" applyBorder="1"/>
    <xf numFmtId="9" fontId="3" fillId="0" borderId="13" xfId="1" applyNumberFormat="1" applyFont="1" applyBorder="1"/>
    <xf numFmtId="9" fontId="3" fillId="4" borderId="13" xfId="1" applyNumberFormat="1" applyFont="1" applyFill="1" applyBorder="1"/>
    <xf numFmtId="176" fontId="9" fillId="2" borderId="14" xfId="0" applyNumberFormat="1" applyFont="1" applyFill="1" applyBorder="1"/>
    <xf numFmtId="0" fontId="3" fillId="0" borderId="15" xfId="0" applyFont="1" applyBorder="1"/>
    <xf numFmtId="0" fontId="3" fillId="0" borderId="16" xfId="0" applyFont="1" applyBorder="1"/>
    <xf numFmtId="180" fontId="3" fillId="4" borderId="13" xfId="0" applyNumberFormat="1" applyFont="1" applyFill="1" applyBorder="1"/>
    <xf numFmtId="180" fontId="3" fillId="4" borderId="3" xfId="0" applyNumberFormat="1" applyFont="1" applyFill="1" applyBorder="1"/>
    <xf numFmtId="180" fontId="3" fillId="4" borderId="17" xfId="0" applyNumberFormat="1" applyFont="1" applyFill="1" applyBorder="1"/>
    <xf numFmtId="180" fontId="3" fillId="4" borderId="13" xfId="2" applyNumberFormat="1" applyFont="1" applyFill="1" applyBorder="1"/>
    <xf numFmtId="9" fontId="9" fillId="2" borderId="4" xfId="1" applyFont="1" applyFill="1" applyBorder="1"/>
    <xf numFmtId="38" fontId="3" fillId="4" borderId="13" xfId="2" applyFont="1" applyFill="1" applyBorder="1"/>
    <xf numFmtId="0" fontId="13" fillId="0" borderId="0" xfId="0" applyFont="1" applyFill="1" applyBorder="1" applyAlignment="1">
      <alignment vertical="center"/>
    </xf>
    <xf numFmtId="9" fontId="3" fillId="4" borderId="1" xfId="1" applyNumberFormat="1" applyFont="1" applyFill="1" applyBorder="1"/>
    <xf numFmtId="0" fontId="10" fillId="0" borderId="18" xfId="0" applyFont="1" applyBorder="1" applyAlignment="1">
      <alignment vertical="center"/>
    </xf>
    <xf numFmtId="0" fontId="3" fillId="0" borderId="18" xfId="0" applyFont="1" applyBorder="1"/>
    <xf numFmtId="0" fontId="9" fillId="2" borderId="19" xfId="0" applyFont="1" applyFill="1" applyBorder="1" applyAlignment="1">
      <alignment horizontal="center" vertical="center" wrapText="1"/>
    </xf>
    <xf numFmtId="180" fontId="9" fillId="2" borderId="20" xfId="0" applyNumberFormat="1" applyFont="1" applyFill="1" applyBorder="1"/>
    <xf numFmtId="180" fontId="9" fillId="2" borderId="21" xfId="0" applyNumberFormat="1" applyFont="1" applyFill="1" applyBorder="1"/>
    <xf numFmtId="0" fontId="3" fillId="0" borderId="22" xfId="0" applyFont="1" applyBorder="1"/>
    <xf numFmtId="180" fontId="9" fillId="2" borderId="23" xfId="0" applyNumberFormat="1" applyFont="1" applyFill="1" applyBorder="1"/>
    <xf numFmtId="180" fontId="9" fillId="2" borderId="24" xfId="0" applyNumberFormat="1" applyFont="1" applyFill="1" applyBorder="1"/>
    <xf numFmtId="0" fontId="11" fillId="0" borderId="0" xfId="0" applyFont="1" applyFill="1" applyAlignment="1">
      <alignment vertical="center"/>
    </xf>
    <xf numFmtId="180" fontId="3" fillId="4" borderId="13" xfId="1" applyNumberFormat="1" applyFont="1" applyFill="1" applyBorder="1"/>
    <xf numFmtId="181" fontId="9" fillId="2" borderId="4" xfId="0" applyNumberFormat="1" applyFont="1" applyFill="1" applyBorder="1"/>
    <xf numFmtId="0" fontId="10" fillId="0" borderId="46" xfId="0" applyFont="1" applyBorder="1" applyAlignment="1">
      <alignment vertical="center"/>
    </xf>
    <xf numFmtId="0" fontId="14" fillId="5" borderId="25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30" xfId="0" applyNumberFormat="1" applyFont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2" borderId="47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10" fillId="0" borderId="26" xfId="0" applyFont="1" applyBorder="1" applyAlignment="1">
      <alignment horizontal="center" vertical="center"/>
    </xf>
    <xf numFmtId="0" fontId="14" fillId="5" borderId="34" xfId="0" applyFont="1" applyFill="1" applyBorder="1" applyAlignment="1">
      <alignment horizontal="left" vertical="center"/>
    </xf>
    <xf numFmtId="0" fontId="14" fillId="5" borderId="35" xfId="0" applyFont="1" applyFill="1" applyBorder="1" applyAlignment="1">
      <alignment horizontal="left" vertical="center"/>
    </xf>
    <xf numFmtId="0" fontId="14" fillId="5" borderId="36" xfId="0" applyFont="1" applyFill="1" applyBorder="1" applyAlignment="1">
      <alignment horizontal="left" vertical="center"/>
    </xf>
    <xf numFmtId="0" fontId="14" fillId="5" borderId="37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left" vertical="center"/>
    </xf>
    <xf numFmtId="0" fontId="14" fillId="5" borderId="43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4" fillId="5" borderId="41" xfId="0" applyFont="1" applyFill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4" fillId="5" borderId="38" xfId="0" applyFont="1" applyFill="1" applyBorder="1" applyAlignment="1">
      <alignment horizontal="left" vertical="center"/>
    </xf>
    <xf numFmtId="0" fontId="14" fillId="5" borderId="40" xfId="0" applyFont="1" applyFill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alcChain" Target="calcChain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店舗　</a:t>
            </a:r>
            <a:r>
              <a:rPr lang="en-US" altLang="ja-JP"/>
              <a:t>TOP</a:t>
            </a:r>
            <a:r>
              <a:rPr lang="en-US" altLang="ja-JP" baseline="0"/>
              <a:t> </a:t>
            </a:r>
            <a:r>
              <a:rPr lang="ja-JP" altLang="en-US" baseline="0"/>
              <a:t>ページ</a:t>
            </a:r>
            <a:endParaRPr lang="ja-JP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168850056864654E-2"/>
          <c:y val="0.16208980633712441"/>
          <c:w val="0.89763806209392361"/>
          <c:h val="0.58331816996674735"/>
        </c:manualLayout>
      </c:layout>
      <c:lineChart>
        <c:grouping val="standard"/>
        <c:varyColors val="0"/>
        <c:ser>
          <c:idx val="0"/>
          <c:order val="0"/>
          <c:tx>
            <c:v>エリア平均</c:v>
          </c:tx>
          <c:spPr>
            <a:ln w="2222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circle"/>
            <c:size val="3"/>
            <c:spPr>
              <a:solidFill>
                <a:schemeClr val="bg1">
                  <a:lumMod val="50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</c:marker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日次クライアントレポート!$F$52:$F$93</c:f>
              <c:numCache>
                <c:formatCode>0.0_ 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0-4ACA-A4C5-E7D20917084A}"/>
            </c:ext>
          </c:extLst>
        </c:ser>
        <c:ser>
          <c:idx val="1"/>
          <c:order val="1"/>
          <c:tx>
            <c:v>貴店</c:v>
          </c:tx>
          <c:spPr>
            <a:ln>
              <a:solidFill>
                <a:srgbClr val="7030A0"/>
              </a:solidFill>
            </a:ln>
          </c:spPr>
          <c:marker>
            <c:symbol val="squar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日次クライアントレポート!$E$52:$E$93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0-4ACA-A4C5-E7D209170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041544"/>
        <c:axId val="308042720"/>
      </c:lineChart>
      <c:catAx>
        <c:axId val="308041544"/>
        <c:scaling>
          <c:orientation val="minMax"/>
        </c:scaling>
        <c:delete val="0"/>
        <c:axPos val="b"/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ja-JP"/>
          </a:p>
        </c:txPr>
        <c:crossAx val="308042720"/>
        <c:crosses val="autoZero"/>
        <c:auto val="0"/>
        <c:lblAlgn val="ctr"/>
        <c:lblOffset val="100"/>
        <c:noMultiLvlLbl val="0"/>
      </c:catAx>
      <c:valAx>
        <c:axId val="308042720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ln>
            <a:prstDash val="sysDot"/>
          </a:ln>
        </c:spPr>
        <c:crossAx val="308041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402396562777944"/>
          <c:y val="2.1894295587152415E-2"/>
          <c:w val="0.20746880324170033"/>
          <c:h val="0.1837504484601300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/>
      </a:pPr>
      <a:endParaRPr lang="ja-JP"/>
    </a:p>
  </c:txPr>
  <c:printSettings>
    <c:headerFooter/>
    <c:pageMargins b="0.75000000000000655" l="0.70000000000000062" r="0.70000000000000062" t="0.75000000000000655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店舗</a:t>
            </a:r>
            <a:r>
              <a:rPr lang="en-US" altLang="ja-JP"/>
              <a:t>TOP </a:t>
            </a:r>
            <a:r>
              <a:rPr lang="ja-JP" altLang="en-US"/>
              <a:t>ページ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168850056864752E-2"/>
          <c:y val="0.16208980633712441"/>
          <c:w val="0.89763806209392361"/>
          <c:h val="0.58331816996674601"/>
        </c:manualLayout>
      </c:layout>
      <c:lineChart>
        <c:grouping val="standard"/>
        <c:varyColors val="0"/>
        <c:ser>
          <c:idx val="0"/>
          <c:order val="0"/>
          <c:tx>
            <c:v>エリア平均</c:v>
          </c:tx>
          <c:spPr>
            <a:ln w="2222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circle"/>
            <c:size val="3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日次クライアントレポート!$U$52:$U$93</c:f>
              <c:numCache>
                <c:formatCode>0.0_ 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6-4D43-9CFE-07AD2E8FBF3E}"/>
            </c:ext>
          </c:extLst>
        </c:ser>
        <c:ser>
          <c:idx val="1"/>
          <c:order val="1"/>
          <c:tx>
            <c:v>貴店</c:v>
          </c:tx>
          <c:spPr>
            <a:ln>
              <a:solidFill>
                <a:srgbClr val="7030A0"/>
              </a:solidFill>
            </a:ln>
          </c:spPr>
          <c:marker>
            <c:symbol val="squar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日次クライアントレポート!$T$52:$T$93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6-4D43-9CFE-07AD2E8F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413352"/>
        <c:axId val="653412176"/>
      </c:lineChart>
      <c:catAx>
        <c:axId val="653413352"/>
        <c:scaling>
          <c:orientation val="minMax"/>
        </c:scaling>
        <c:delete val="0"/>
        <c:axPos val="b"/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ja-JP"/>
          </a:p>
        </c:txPr>
        <c:crossAx val="653412176"/>
        <c:crosses val="autoZero"/>
        <c:auto val="0"/>
        <c:lblAlgn val="ctr"/>
        <c:lblOffset val="100"/>
        <c:noMultiLvlLbl val="0"/>
      </c:catAx>
      <c:valAx>
        <c:axId val="653412176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ln>
            <a:prstDash val="sysDot"/>
          </a:ln>
        </c:spPr>
        <c:crossAx val="653413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40239170391914"/>
          <c:y val="2.1894295587152415E-2"/>
          <c:w val="0.2587171632364399"/>
          <c:h val="0.1693581827451427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/>
      </a:pPr>
      <a:endParaRPr lang="ja-JP"/>
    </a:p>
  </c:tx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/>
              <a:t>クーポンページ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168850056864765E-2"/>
          <c:y val="0.16208980633712441"/>
          <c:w val="0.89763806209392361"/>
          <c:h val="0.58331816996674535"/>
        </c:manualLayout>
      </c:layout>
      <c:lineChart>
        <c:grouping val="standard"/>
        <c:varyColors val="0"/>
        <c:ser>
          <c:idx val="0"/>
          <c:order val="0"/>
          <c:tx>
            <c:v>エリア平均</c:v>
          </c:tx>
          <c:spPr>
            <a:ln w="22225">
              <a:solidFill>
                <a:schemeClr val="bg1">
                  <a:lumMod val="50000"/>
                </a:schemeClr>
              </a:solidFill>
              <a:prstDash val="sysDash"/>
            </a:ln>
          </c:spPr>
          <c:marker>
            <c:symbol val="circle"/>
            <c:size val="3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日次クライアントレポート!$W$52:$W$93</c:f>
              <c:numCache>
                <c:formatCode>0.0_ 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5-4C5A-A2D4-2686BB469935}"/>
            </c:ext>
          </c:extLst>
        </c:ser>
        <c:ser>
          <c:idx val="1"/>
          <c:order val="1"/>
          <c:tx>
            <c:v>貴店</c:v>
          </c:tx>
          <c:spPr>
            <a:ln>
              <a:solidFill>
                <a:srgbClr val="7030A0"/>
              </a:solidFill>
            </a:ln>
          </c:spPr>
          <c:marker>
            <c:symbol val="square"/>
            <c:size val="4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日次クライアントレポート!$B$52:$B$93</c:f>
              <c:numCache>
                <c:formatCode>mm/dd</c:formatCode>
                <c:ptCount val="4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cat>
          <c:val>
            <c:numRef>
              <c:f>日次クライアントレポート!$V$52:$V$93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5-4C5A-A2D4-2686BB46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413744"/>
        <c:axId val="653412960"/>
      </c:lineChart>
      <c:catAx>
        <c:axId val="653413744"/>
        <c:scaling>
          <c:orientation val="minMax"/>
        </c:scaling>
        <c:delete val="0"/>
        <c:axPos val="b"/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ja-JP"/>
          </a:p>
        </c:txPr>
        <c:crossAx val="653412960"/>
        <c:crosses val="autoZero"/>
        <c:auto val="0"/>
        <c:lblAlgn val="ctr"/>
        <c:lblOffset val="100"/>
        <c:noMultiLvlLbl val="0"/>
      </c:catAx>
      <c:valAx>
        <c:axId val="653412960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ln>
            <a:prstDash val="sysDot"/>
          </a:ln>
        </c:spPr>
        <c:crossAx val="65341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402396439575485"/>
          <c:y val="2.1894328426338011E-2"/>
          <c:w val="0.25877408802160606"/>
          <c:h val="0.15673437559435549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/>
      </a:pPr>
      <a:endParaRPr lang="ja-JP"/>
    </a:p>
  </c:txPr>
  <c:printSettings>
    <c:headerFooter/>
    <c:pageMargins b="0.75000000000000722" l="0.70000000000000062" r="0.70000000000000062" t="0.75000000000000722" header="0.30000000000000032" footer="0.30000000000000032"/>
    <c:pageSetup/>
  </c:printSettings>
</c:chartSpac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  <Relationship Id="rId4" Type="http://schemas.openxmlformats.org/officeDocument/2006/relationships/image" Target="../media/image1.png"/>
  <Relationship Id="rId5" Type="http://schemas.openxmlformats.org/officeDocument/2006/relationships/image" Target="../media/image2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10</xdr:row>
      <xdr:rowOff>47625</xdr:rowOff>
    </xdr:from>
    <xdr:to>
      <xdr:col>13</xdr:col>
      <xdr:colOff>428625</xdr:colOff>
      <xdr:row>28</xdr:row>
      <xdr:rowOff>123825</xdr:rowOff>
    </xdr:to>
    <xdr:graphicFrame macro="">
      <xdr:nvGraphicFramePr>
        <xdr:cNvPr id="1068" name="グラフ 2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35022</xdr:colOff>
      <xdr:row>0</xdr:row>
      <xdr:rowOff>2</xdr:rowOff>
    </xdr:from>
    <xdr:ext cx="12088941" cy="1126783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5022" y="2"/>
          <a:ext cx="12088941" cy="1126783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flat" dir="t">
              <a:rot lat="0" lon="0" rev="18900000"/>
            </a:lightRig>
          </a:scene3d>
          <a:sp3d extrusionH="31750" contourW="6350" prstMaterial="powder">
            <a:bevelT w="19050" h="19050" prst="angle"/>
            <a:contourClr>
              <a:schemeClr val="accent3">
                <a:tint val="100000"/>
                <a:shade val="100000"/>
                <a:satMod val="100000"/>
                <a:hueMod val="100000"/>
              </a:schemeClr>
            </a:contourClr>
          </a:sp3d>
        </a:bodyPr>
        <a:lstStyle/>
        <a:p>
          <a:pPr algn="l"/>
          <a:r>
            <a:rPr lang="en-US" altLang="ja-JP" sz="3200" b="1" cap="none" spc="0">
              <a:ln/>
              <a:solidFill>
                <a:srgbClr val="7030A0"/>
              </a:solidFill>
              <a:effectLst/>
            </a:rPr>
            <a:t>HotPepper</a:t>
          </a:r>
          <a:r>
            <a:rPr lang="ja-JP" altLang="en-US" sz="3200" b="1" cap="none" spc="0">
              <a:ln/>
              <a:solidFill>
                <a:srgbClr val="7030A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7030A0"/>
              </a:solidFill>
              <a:effectLst/>
            </a:rPr>
            <a:t>Client</a:t>
          </a:r>
          <a:r>
            <a:rPr lang="ja-JP" altLang="en-US" sz="3200" b="1" cap="none" spc="0">
              <a:ln/>
              <a:solidFill>
                <a:srgbClr val="7030A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7030A0"/>
              </a:solidFill>
              <a:effectLst/>
            </a:rPr>
            <a:t> Report</a:t>
          </a:r>
          <a:r>
            <a:rPr lang="ja-JP" altLang="en-US" sz="3200" b="1" cap="none" spc="0">
              <a:ln/>
              <a:solidFill>
                <a:srgbClr val="7030A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7030A0"/>
              </a:solidFill>
              <a:effectLst/>
            </a:rPr>
            <a:t>(Daily)</a:t>
          </a:r>
        </a:p>
        <a:p>
          <a:pPr algn="l"/>
          <a:endParaRPr lang="ja-JP" altLang="en-US" sz="3200" b="1" cap="none" spc="0">
            <a:ln/>
            <a:solidFill>
              <a:srgbClr val="7030A0"/>
            </a:solidFill>
            <a:effectLst/>
          </a:endParaRPr>
        </a:p>
      </xdr:txBody>
    </xdr:sp>
    <xdr:clientData/>
  </xdr:oneCellAnchor>
  <xdr:twoCellAnchor>
    <xdr:from>
      <xdr:col>16</xdr:col>
      <xdr:colOff>187325</xdr:colOff>
      <xdr:row>10</xdr:row>
      <xdr:rowOff>47625</xdr:rowOff>
    </xdr:from>
    <xdr:to>
      <xdr:col>27</xdr:col>
      <xdr:colOff>152399</xdr:colOff>
      <xdr:row>28</xdr:row>
      <xdr:rowOff>123825</xdr:rowOff>
    </xdr:to>
    <xdr:graphicFrame macro="">
      <xdr:nvGraphicFramePr>
        <xdr:cNvPr id="1075" name="グラフ 5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168275</xdr:colOff>
      <xdr:row>30</xdr:row>
      <xdr:rowOff>0</xdr:rowOff>
    </xdr:from>
    <xdr:to>
      <xdr:col>27</xdr:col>
      <xdr:colOff>114300</xdr:colOff>
      <xdr:row>47</xdr:row>
      <xdr:rowOff>57150</xdr:rowOff>
    </xdr:to>
    <xdr:graphicFrame macro="">
      <xdr:nvGraphicFramePr>
        <xdr:cNvPr id="1076" name="グラフ 7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351940</xdr:colOff>
      <xdr:row>0</xdr:row>
      <xdr:rowOff>59677</xdr:rowOff>
    </xdr:from>
    <xdr:to>
      <xdr:col>30</xdr:col>
      <xdr:colOff>467192</xdr:colOff>
      <xdr:row>1</xdr:row>
      <xdr:rowOff>418953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10715" y="59677"/>
          <a:ext cx="2866072" cy="492626"/>
        </a:xfrm>
        <a:prstGeom prst="rect">
          <a:avLst/>
        </a:prstGeom>
      </xdr:spPr>
    </xdr:pic>
    <xdr:clientData/>
  </xdr:twoCellAnchor>
  <xdr:twoCellAnchor editAs="oneCell">
    <xdr:from>
      <xdr:col>27</xdr:col>
      <xdr:colOff>320311</xdr:colOff>
      <xdr:row>106</xdr:row>
      <xdr:rowOff>60960</xdr:rowOff>
    </xdr:from>
    <xdr:to>
      <xdr:col>30</xdr:col>
      <xdr:colOff>294095</xdr:colOff>
      <xdr:row>107</xdr:row>
      <xdr:rowOff>102332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0597" y="16285029"/>
          <a:ext cx="1634763" cy="180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09"/>
  <sheetViews>
    <sheetView tabSelected="1" view="pageBreakPreview" zoomScaleNormal="85" zoomScaleSheetLayoutView="100" workbookViewId="0"/>
  </sheetViews>
  <sheetFormatPr defaultColWidth="9" defaultRowHeight="11" x14ac:dyDescent="0.2"/>
  <cols>
    <col min="1" max="2" style="1" width="9.0" collapsed="false"/>
    <col min="3" max="3" bestFit="true" customWidth="true" style="1" width="4.453125" collapsed="false"/>
    <col min="4" max="15" customWidth="true" style="1" width="8.08984375" collapsed="false"/>
    <col min="16" max="16" customWidth="true" style="1" width="9.453125" collapsed="false"/>
    <col min="17" max="17" style="1" width="9.0" collapsed="false"/>
    <col min="18" max="18" bestFit="true" customWidth="true" style="1" width="4.453125" collapsed="false"/>
    <col min="19" max="27" customWidth="true" style="1" width="8.08984375" collapsed="false"/>
    <col min="28" max="29" customWidth="true" style="1" width="7.6328125" collapsed="false"/>
    <col min="30" max="30" customWidth="true" style="1" width="8.81640625" collapsed="false"/>
    <col min="31" max="39" customWidth="true" style="1" width="8.08984375" collapsed="false"/>
    <col min="40" max="41" customWidth="true" style="1" width="7.6328125" collapsed="false"/>
    <col min="42" max="16384" style="1" width="9.0" collapsed="false"/>
  </cols>
  <sheetData>
    <row r="1" spans="1:4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46" ht="36.75" customHeight="1" thickBo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8"/>
    </row>
    <row r="3" spans="1:46" ht="11.5" thickTop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52"/>
      <c r="AC3" s="53"/>
      <c r="AD3" s="53"/>
      <c r="AE3" s="53"/>
      <c r="AF3" s="53"/>
    </row>
    <row r="4" spans="1:46" ht="23.25" customHeight="1" x14ac:dyDescent="0.2">
      <c r="A4" s="77" t="s">
        <v>2</v>
      </c>
      <c r="B4" s="78"/>
      <c r="C4" s="74" t="s">
        <v>40</v>
      </c>
      <c r="D4" s="70"/>
      <c r="E4" s="70"/>
      <c r="F4" s="70"/>
      <c r="G4" s="71"/>
      <c r="H4" s="88" t="s">
        <v>3</v>
      </c>
      <c r="I4" s="88"/>
      <c r="J4" s="86" t="s">
        <v>42</v>
      </c>
      <c r="K4" s="86"/>
      <c r="L4" s="87"/>
      <c r="M4" s="89" t="s">
        <v>4</v>
      </c>
      <c r="N4" s="77"/>
      <c r="O4" s="90" t="s">
        <v>44</v>
      </c>
      <c r="P4" s="91"/>
      <c r="Q4" s="91"/>
      <c r="R4" s="91"/>
      <c r="S4" s="68" t="s">
        <v>18</v>
      </c>
      <c r="T4" s="66" t="s">
        <v>46</v>
      </c>
      <c r="U4" s="67"/>
      <c r="V4" s="67"/>
      <c r="W4" s="67"/>
      <c r="X4" s="64" t="s">
        <v>5</v>
      </c>
      <c r="Y4" s="65"/>
      <c r="Z4" s="74" t="s">
        <v>48</v>
      </c>
      <c r="AA4" s="71"/>
      <c r="AC4" s="5"/>
    </row>
    <row r="5" spans="1:46" ht="23.25" customHeight="1" x14ac:dyDescent="0.2">
      <c r="A5" s="75" t="s">
        <v>6</v>
      </c>
      <c r="B5" s="76"/>
      <c r="C5" s="74" t="s">
        <v>41</v>
      </c>
      <c r="D5" s="70"/>
      <c r="E5" s="70"/>
      <c r="F5" s="70"/>
      <c r="G5" s="71"/>
      <c r="H5" s="85" t="s">
        <v>7</v>
      </c>
      <c r="I5" s="85"/>
      <c r="J5" s="86" t="s">
        <v>43</v>
      </c>
      <c r="K5" s="86"/>
      <c r="L5" s="87"/>
      <c r="M5" s="82" t="s">
        <v>8</v>
      </c>
      <c r="N5" s="83"/>
      <c r="O5" s="66" t="s">
        <v>45</v>
      </c>
      <c r="P5" s="67"/>
      <c r="Q5" s="67"/>
      <c r="R5" s="67"/>
      <c r="S5" s="68"/>
      <c r="T5" s="69" t="s">
        <v>47</v>
      </c>
      <c r="U5" s="70"/>
      <c r="V5" s="70"/>
      <c r="W5" s="71"/>
      <c r="X5" s="63"/>
      <c r="Y5" s="5"/>
      <c r="Z5" s="5"/>
      <c r="AA5" s="5"/>
      <c r="AB5" s="5"/>
      <c r="AC5" s="5"/>
    </row>
    <row r="6" spans="1:46" x14ac:dyDescent="0.2">
      <c r="AP6" s="16"/>
      <c r="AQ6" s="16"/>
    </row>
    <row r="7" spans="1:46" x14ac:dyDescent="0.2">
      <c r="AP7" s="16"/>
      <c r="AQ7" s="16"/>
    </row>
    <row r="8" spans="1:46" ht="14" x14ac:dyDescent="0.2">
      <c r="B8" s="84" t="s">
        <v>32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19"/>
      <c r="P8" s="19"/>
      <c r="Q8" s="84" t="s">
        <v>37</v>
      </c>
      <c r="R8" s="84"/>
      <c r="S8" s="84"/>
      <c r="T8" s="84"/>
      <c r="U8" s="84"/>
      <c r="V8" s="84"/>
      <c r="W8" s="84"/>
      <c r="X8" s="84"/>
      <c r="Y8" s="84"/>
      <c r="Z8" s="84"/>
      <c r="AA8" s="84"/>
      <c r="AB8" s="60"/>
      <c r="AC8" s="60"/>
      <c r="AD8" s="19"/>
      <c r="AE8" s="16"/>
    </row>
    <row r="9" spans="1:46" ht="14" x14ac:dyDescent="0.2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19"/>
      <c r="P9" s="19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60"/>
      <c r="AC9" s="60"/>
      <c r="AD9" s="19"/>
      <c r="AE9" s="16"/>
    </row>
    <row r="10" spans="1:46" x14ac:dyDescent="0.2">
      <c r="P10" s="16"/>
      <c r="AD10" s="16"/>
      <c r="AE10" s="16"/>
    </row>
    <row r="11" spans="1:46" x14ac:dyDescent="0.2">
      <c r="AD11" s="16"/>
      <c r="AE11" s="16"/>
    </row>
    <row r="12" spans="1:46" x14ac:dyDescent="0.2">
      <c r="AD12" s="16"/>
      <c r="AE12" s="16"/>
    </row>
    <row r="44" spans="1:30" ht="13.5" customHeight="1" x14ac:dyDescent="0.2"/>
    <row r="45" spans="1:30" s="2" customForma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"/>
    <row r="47" spans="1:30" ht="15.75" customHeight="1" x14ac:dyDescent="0.2"/>
    <row r="48" spans="1:30" ht="15.75" customHeight="1" x14ac:dyDescent="0.2"/>
    <row r="49" spans="1:34" ht="15.75" customHeight="1" x14ac:dyDescent="0.2">
      <c r="B49" s="1" t="s">
        <v>14</v>
      </c>
      <c r="Q49" s="1" t="s">
        <v>14</v>
      </c>
      <c r="AC49" s="1" t="s">
        <v>34</v>
      </c>
    </row>
    <row r="50" spans="1:34" ht="15.75" customHeight="1" x14ac:dyDescent="0.2">
      <c r="B50" s="15"/>
      <c r="C50" s="15"/>
      <c r="D50" s="72" t="s">
        <v>31</v>
      </c>
      <c r="E50" s="73"/>
      <c r="F50" s="73"/>
      <c r="G50" s="73"/>
      <c r="H50" s="73"/>
      <c r="I50" s="73"/>
      <c r="J50" s="73"/>
      <c r="K50" s="73"/>
      <c r="P50" s="14"/>
      <c r="Q50" s="79" t="s">
        <v>38</v>
      </c>
      <c r="R50" s="80"/>
      <c r="S50" s="80"/>
      <c r="T50" s="80"/>
      <c r="U50" s="80"/>
      <c r="V50" s="80"/>
      <c r="W50" s="80"/>
      <c r="X50" s="80"/>
      <c r="Y50" s="80"/>
      <c r="Z50" s="80"/>
      <c r="AA50" s="81"/>
      <c r="AC50" s="73" t="s">
        <v>39</v>
      </c>
      <c r="AD50" s="73"/>
    </row>
    <row r="51" spans="1:34" ht="36.75" customHeight="1" x14ac:dyDescent="0.2">
      <c r="A51" s="2"/>
      <c r="B51" s="10" t="s">
        <v>11</v>
      </c>
      <c r="C51" s="10" t="s">
        <v>0</v>
      </c>
      <c r="D51" s="10" t="s">
        <v>19</v>
      </c>
      <c r="E51" s="10" t="s">
        <v>20</v>
      </c>
      <c r="F51" s="10" t="s">
        <v>21</v>
      </c>
      <c r="G51" s="10" t="s">
        <v>22</v>
      </c>
      <c r="H51" s="10" t="s">
        <v>16</v>
      </c>
      <c r="I51" s="10" t="s">
        <v>17</v>
      </c>
      <c r="J51" s="10" t="s">
        <v>27</v>
      </c>
      <c r="K51" s="10" t="s">
        <v>1</v>
      </c>
      <c r="Q51" s="10" t="s">
        <v>11</v>
      </c>
      <c r="R51" s="10" t="s">
        <v>0</v>
      </c>
      <c r="S51" s="10" t="s">
        <v>19</v>
      </c>
      <c r="T51" s="10" t="s">
        <v>20</v>
      </c>
      <c r="U51" s="10" t="s">
        <v>23</v>
      </c>
      <c r="V51" s="10" t="s">
        <v>24</v>
      </c>
      <c r="W51" s="10" t="s">
        <v>25</v>
      </c>
      <c r="X51" s="10" t="s">
        <v>26</v>
      </c>
      <c r="Y51" s="10" t="s">
        <v>9</v>
      </c>
      <c r="Z51" s="10" t="s">
        <v>27</v>
      </c>
      <c r="AA51" s="10" t="s">
        <v>1</v>
      </c>
      <c r="AC51" s="54" t="s">
        <v>33</v>
      </c>
      <c r="AD51" s="10" t="s">
        <v>35</v>
      </c>
      <c r="AH51" s="10" t="s">
        <v>36</v>
      </c>
    </row>
    <row r="52" spans="1:34" x14ac:dyDescent="0.2">
      <c r="B52" s="62" t="n">
        <v>46170.0</v>
      </c>
      <c r="C52" s="20" t="n">
        <f>IF(B52="","",B52)</f>
        <v>46170.0</v>
      </c>
      <c r="D52" s="11" t="n">
        <v>52.0</v>
      </c>
      <c r="E52" s="9" t="n">
        <v>20.0</v>
      </c>
      <c r="F52" s="23"/>
      <c r="G52" s="9" t="n">
        <v>1.0</v>
      </c>
      <c r="H52" s="21" t="n">
        <f>IF(ISERROR(G52/E52),"",G52/E52)</f>
        <v>0.05</v>
      </c>
      <c r="I52" s="22" t="str">
        <f>IF(ISERROR(AF52/F52),"",AF52/F52)</f>
        <v/>
      </c>
      <c r="J52" s="9" t="n">
        <v>0.0</v>
      </c>
      <c r="K52" s="9" t="n">
        <v>0.0</v>
      </c>
      <c r="Q52" s="62" t="n">
        <v>46170.0</v>
      </c>
      <c r="R52" s="20" t="n">
        <f>IF(Q52="","",Q52)</f>
        <v>46170.0</v>
      </c>
      <c r="S52" s="11" t="n">
        <v>94.0</v>
      </c>
      <c r="T52" s="9" t="n">
        <v>46.0</v>
      </c>
      <c r="U52" s="23"/>
      <c r="V52" s="9" t="n">
        <v>0.0</v>
      </c>
      <c r="W52" s="23"/>
      <c r="X52" s="21" t="n">
        <f>IF(ISERROR(V52/T52),"",V52/T52)</f>
        <v>0.0</v>
      </c>
      <c r="Y52" s="22" t="str">
        <f>IF(ISERROR(W52/U52),"",W52/U52)</f>
        <v/>
      </c>
      <c r="Z52" s="9" t="n">
        <v>1.0</v>
      </c>
      <c r="AA52" s="9" t="n">
        <v>2.0</v>
      </c>
      <c r="AC52" s="9"/>
      <c r="AD52" s="24"/>
      <c r="AH52" s="24"/>
    </row>
    <row r="53" spans="1:34" x14ac:dyDescent="0.2">
      <c r="B53" s="62" t="n">
        <f>B52+1</f>
        <v>46171.0</v>
      </c>
      <c r="C53" s="20" t="n">
        <f t="shared" ref="C53:C88" si="0">IF(B53="","",B53)</f>
        <v>46171.0</v>
      </c>
      <c r="D53" s="12" t="n">
        <v>42.0</v>
      </c>
      <c r="E53" s="3" t="n">
        <v>19.0</v>
      </c>
      <c r="F53" s="23"/>
      <c r="G53" s="3" t="n">
        <v>1.0</v>
      </c>
      <c r="H53" s="21" t="n">
        <f t="shared" ref="H53:H93" si="1">IF(ISERROR(G53/E53),"",G53/E53)</f>
        <v>0.05263157894736842</v>
      </c>
      <c r="I53" s="22" t="str">
        <f t="shared" ref="I53:I93" si="2">IF(ISERROR(AF53/F53),"",AF53/F53)</f>
        <v/>
      </c>
      <c r="J53" s="3" t="n">
        <v>0.0</v>
      </c>
      <c r="K53" s="3" t="n">
        <v>0.0</v>
      </c>
      <c r="Q53" s="62" t="n">
        <v>46171.0</v>
      </c>
      <c r="R53" s="20" t="n">
        <f t="shared" ref="R53:R93" si="3">IF(Q53="","",Q53)</f>
        <v>46171.0</v>
      </c>
      <c r="S53" s="12" t="n">
        <v>153.0</v>
      </c>
      <c r="T53" s="3" t="n">
        <v>68.0</v>
      </c>
      <c r="U53" s="23"/>
      <c r="V53" s="3" t="n">
        <v>0.0</v>
      </c>
      <c r="W53" s="23"/>
      <c r="X53" s="21" t="n">
        <f t="shared" ref="X53:X93" si="4">IF(ISERROR(V53/T53),"",V53/T53)</f>
        <v>0.0</v>
      </c>
      <c r="Y53" s="22" t="str">
        <f>IF(ISERROR(W53/U53),"",W53/U53)</f>
        <v/>
      </c>
      <c r="Z53" s="3" t="n">
        <v>0.0</v>
      </c>
      <c r="AA53" s="3" t="n">
        <v>7.0</v>
      </c>
      <c r="AC53" s="3"/>
      <c r="AD53" s="24"/>
      <c r="AH53" s="24"/>
    </row>
    <row r="54" spans="1:34" x14ac:dyDescent="0.2">
      <c r="B54" s="62" t="n">
        <f t="shared" ref="B54:B93" si="5">B53+1</f>
        <v>46172.0</v>
      </c>
      <c r="C54" s="20" t="n">
        <f t="shared" si="0"/>
        <v>46172.0</v>
      </c>
      <c r="D54" s="12" t="n">
        <v>33.0</v>
      </c>
      <c r="E54" s="3" t="n">
        <v>14.0</v>
      </c>
      <c r="F54" s="23"/>
      <c r="G54" s="3" t="n">
        <v>2.0</v>
      </c>
      <c r="H54" s="21" t="n">
        <f t="shared" si="1"/>
        <v>0.14285714285714285</v>
      </c>
      <c r="I54" s="22" t="str">
        <f t="shared" si="2"/>
        <v/>
      </c>
      <c r="J54" s="3" t="n">
        <v>0.0</v>
      </c>
      <c r="K54" s="3" t="n">
        <v>0.0</v>
      </c>
      <c r="Q54" s="62" t="n">
        <v>46172.0</v>
      </c>
      <c r="R54" s="20" t="n">
        <f t="shared" si="3"/>
        <v>46172.0</v>
      </c>
      <c r="S54" s="12" t="n">
        <v>164.0</v>
      </c>
      <c r="T54" s="3" t="n">
        <v>68.0</v>
      </c>
      <c r="U54" s="23"/>
      <c r="V54" s="3" t="n">
        <v>0.0</v>
      </c>
      <c r="W54" s="23"/>
      <c r="X54" s="21" t="n">
        <f t="shared" si="4"/>
        <v>0.0</v>
      </c>
      <c r="Y54" s="22" t="str">
        <f>IF(ISERROR(W54/U54),"",W54/U54)</f>
        <v/>
      </c>
      <c r="Z54" s="3" t="n">
        <v>1.0</v>
      </c>
      <c r="AA54" s="3" t="n">
        <v>3.0</v>
      </c>
      <c r="AC54" s="3"/>
      <c r="AD54" s="24"/>
      <c r="AH54" s="24"/>
    </row>
    <row r="55" spans="1:34" x14ac:dyDescent="0.2">
      <c r="B55" s="62" t="n">
        <f t="shared" si="5"/>
        <v>46173.0</v>
      </c>
      <c r="C55" s="20" t="n">
        <f t="shared" si="0"/>
        <v>46173.0</v>
      </c>
      <c r="D55" s="12" t="n">
        <v>26.0</v>
      </c>
      <c r="E55" s="3" t="n">
        <v>12.0</v>
      </c>
      <c r="F55" s="23"/>
      <c r="G55" s="3" t="n">
        <v>0.0</v>
      </c>
      <c r="H55" s="21" t="n">
        <f t="shared" si="1"/>
        <v>0.0</v>
      </c>
      <c r="I55" s="22" t="str">
        <f t="shared" si="2"/>
        <v/>
      </c>
      <c r="J55" s="3" t="n">
        <v>0.0</v>
      </c>
      <c r="K55" s="3" t="n">
        <v>0.0</v>
      </c>
      <c r="Q55" s="62" t="n">
        <v>46173.0</v>
      </c>
      <c r="R55" s="20" t="n">
        <f t="shared" si="3"/>
        <v>46173.0</v>
      </c>
      <c r="S55" s="12" t="n">
        <v>164.0</v>
      </c>
      <c r="T55" s="3" t="n">
        <v>70.0</v>
      </c>
      <c r="U55" s="23"/>
      <c r="V55" s="3" t="n">
        <v>0.0</v>
      </c>
      <c r="W55" s="23"/>
      <c r="X55" s="21" t="n">
        <f t="shared" si="4"/>
        <v>0.0</v>
      </c>
      <c r="Y55" s="22" t="str">
        <f>IF(ISERROR(W55/U55),"",W55/U55)</f>
        <v/>
      </c>
      <c r="Z55" s="3" t="n">
        <v>1.0</v>
      </c>
      <c r="AA55" s="3" t="n">
        <v>4.0</v>
      </c>
      <c r="AC55" s="3"/>
      <c r="AD55" s="24"/>
      <c r="AH55" s="24"/>
    </row>
    <row r="56" spans="1:34" x14ac:dyDescent="0.2">
      <c r="B56" s="62" t="n">
        <f t="shared" si="5"/>
        <v>46174.0</v>
      </c>
      <c r="C56" s="20" t="n">
        <f t="shared" si="0"/>
        <v>46174.0</v>
      </c>
      <c r="D56" s="12" t="n">
        <v>39.0</v>
      </c>
      <c r="E56" s="3" t="n">
        <v>14.0</v>
      </c>
      <c r="F56" s="23"/>
      <c r="G56" s="3" t="n">
        <v>0.0</v>
      </c>
      <c r="H56" s="21" t="n">
        <f t="shared" si="1"/>
        <v>0.0</v>
      </c>
      <c r="I56" s="22" t="str">
        <f t="shared" si="2"/>
        <v/>
      </c>
      <c r="J56" s="3" t="n">
        <v>0.0</v>
      </c>
      <c r="K56" s="3" t="n">
        <v>0.0</v>
      </c>
      <c r="Q56" s="62" t="n">
        <v>46174.0</v>
      </c>
      <c r="R56" s="20" t="n">
        <f t="shared" si="3"/>
        <v>46174.0</v>
      </c>
      <c r="S56" s="12" t="n">
        <v>57.0</v>
      </c>
      <c r="T56" s="3" t="n">
        <v>30.0</v>
      </c>
      <c r="U56" s="23"/>
      <c r="V56" s="3" t="n">
        <v>0.0</v>
      </c>
      <c r="W56" s="23"/>
      <c r="X56" s="21" t="n">
        <f t="shared" si="4"/>
        <v>0.0</v>
      </c>
      <c r="Y56" s="22" t="str">
        <f>IF(ISERROR(W56/U56),"",W56/U56)</f>
        <v/>
      </c>
      <c r="Z56" s="3" t="n">
        <v>0.0</v>
      </c>
      <c r="AA56" s="3" t="n">
        <v>0.0</v>
      </c>
      <c r="AC56" s="3"/>
      <c r="AD56" s="24"/>
      <c r="AH56" s="24"/>
    </row>
    <row r="57" spans="1:34" x14ac:dyDescent="0.2">
      <c r="B57" s="62" t="n">
        <f t="shared" si="5"/>
        <v>46175.0</v>
      </c>
      <c r="C57" s="20" t="n">
        <f t="shared" si="0"/>
        <v>46175.0</v>
      </c>
      <c r="D57" s="12" t="n">
        <v>28.0</v>
      </c>
      <c r="E57" s="3" t="n">
        <v>16.0</v>
      </c>
      <c r="F57" s="23"/>
      <c r="G57" s="3" t="n">
        <v>2.0</v>
      </c>
      <c r="H57" s="21" t="n">
        <f t="shared" si="1"/>
        <v>0.125</v>
      </c>
      <c r="I57" s="22" t="str">
        <f t="shared" si="2"/>
        <v/>
      </c>
      <c r="J57" s="3" t="n">
        <v>0.0</v>
      </c>
      <c r="K57" s="3" t="n">
        <v>0.0</v>
      </c>
      <c r="Q57" s="62" t="n">
        <v>46175.0</v>
      </c>
      <c r="R57" s="20" t="n">
        <f t="shared" si="3"/>
        <v>46175.0</v>
      </c>
      <c r="S57" s="12" t="n">
        <v>51.0</v>
      </c>
      <c r="T57" s="3" t="n">
        <v>26.0</v>
      </c>
      <c r="U57" s="23"/>
      <c r="V57" s="3" t="n">
        <v>0.0</v>
      </c>
      <c r="W57" s="23"/>
      <c r="X57" s="21" t="n">
        <f t="shared" si="4"/>
        <v>0.0</v>
      </c>
      <c r="Y57" s="22" t="str">
        <f t="shared" ref="Y57:Y93" si="6">IF(ISERROR(W57/U57),"",W57/U57)</f>
        <v/>
      </c>
      <c r="Z57" s="3" t="n">
        <v>0.0</v>
      </c>
      <c r="AA57" s="3" t="n">
        <v>1.0</v>
      </c>
      <c r="AC57" s="3"/>
      <c r="AD57" s="24"/>
      <c r="AH57" s="24"/>
    </row>
    <row r="58" spans="1:34" x14ac:dyDescent="0.2">
      <c r="B58" s="62" t="n">
        <f t="shared" si="5"/>
        <v>46176.0</v>
      </c>
      <c r="C58" s="20" t="n">
        <f t="shared" si="0"/>
        <v>46176.0</v>
      </c>
      <c r="D58" s="12" t="n">
        <v>96.0</v>
      </c>
      <c r="E58" s="3" t="n">
        <v>15.0</v>
      </c>
      <c r="F58" s="23"/>
      <c r="G58" s="3" t="n">
        <v>0.0</v>
      </c>
      <c r="H58" s="21" t="n">
        <f t="shared" si="1"/>
        <v>0.0</v>
      </c>
      <c r="I58" s="22" t="str">
        <f t="shared" si="2"/>
        <v/>
      </c>
      <c r="J58" s="3" t="n">
        <v>1.0</v>
      </c>
      <c r="K58" s="3" t="n">
        <v>0.0</v>
      </c>
      <c r="Q58" s="62" t="n">
        <v>46176.0</v>
      </c>
      <c r="R58" s="20" t="n">
        <f t="shared" si="3"/>
        <v>46176.0</v>
      </c>
      <c r="S58" s="12" t="n">
        <v>101.0</v>
      </c>
      <c r="T58" s="3" t="n">
        <v>49.0</v>
      </c>
      <c r="U58" s="23"/>
      <c r="V58" s="3" t="n">
        <v>0.0</v>
      </c>
      <c r="W58" s="23"/>
      <c r="X58" s="21" t="n">
        <f t="shared" si="4"/>
        <v>0.0</v>
      </c>
      <c r="Y58" s="22" t="str">
        <f t="shared" si="6"/>
        <v/>
      </c>
      <c r="Z58" s="3" t="n">
        <v>0.0</v>
      </c>
      <c r="AA58" s="3" t="n">
        <v>1.0</v>
      </c>
      <c r="AC58" s="3"/>
      <c r="AD58" s="24"/>
      <c r="AH58" s="24"/>
    </row>
    <row r="59" spans="1:34" x14ac:dyDescent="0.2">
      <c r="B59" s="62" t="n">
        <f t="shared" si="5"/>
        <v>46177.0</v>
      </c>
      <c r="C59" s="20" t="n">
        <f t="shared" si="0"/>
        <v>46177.0</v>
      </c>
      <c r="D59" s="12" t="n">
        <v>96.0</v>
      </c>
      <c r="E59" s="3" t="n">
        <v>16.0</v>
      </c>
      <c r="F59" s="23"/>
      <c r="G59" s="3" t="n">
        <v>0.0</v>
      </c>
      <c r="H59" s="21" t="n">
        <f t="shared" si="1"/>
        <v>0.0</v>
      </c>
      <c r="I59" s="22" t="str">
        <f t="shared" si="2"/>
        <v/>
      </c>
      <c r="J59" s="3" t="n">
        <v>0.0</v>
      </c>
      <c r="K59" s="3" t="n">
        <v>0.0</v>
      </c>
      <c r="Q59" s="62" t="n">
        <v>46177.0</v>
      </c>
      <c r="R59" s="20" t="n">
        <f t="shared" si="3"/>
        <v>46177.0</v>
      </c>
      <c r="S59" s="12" t="n">
        <v>167.0</v>
      </c>
      <c r="T59" s="3" t="n">
        <v>67.0</v>
      </c>
      <c r="U59" s="23"/>
      <c r="V59" s="3" t="n">
        <v>0.0</v>
      </c>
      <c r="W59" s="23"/>
      <c r="X59" s="21" t="n">
        <f t="shared" si="4"/>
        <v>0.0</v>
      </c>
      <c r="Y59" s="22" t="str">
        <f t="shared" si="6"/>
        <v/>
      </c>
      <c r="Z59" s="3" t="n">
        <v>1.0</v>
      </c>
      <c r="AA59" s="3" t="n">
        <v>4.0</v>
      </c>
      <c r="AC59" s="3"/>
      <c r="AD59" s="24"/>
      <c r="AH59" s="24"/>
    </row>
    <row r="60" spans="1:34" x14ac:dyDescent="0.2">
      <c r="B60" s="62" t="n">
        <f t="shared" si="5"/>
        <v>46178.0</v>
      </c>
      <c r="C60" s="20" t="n">
        <f t="shared" si="0"/>
        <v>46178.0</v>
      </c>
      <c r="D60" s="12" t="n">
        <v>51.0</v>
      </c>
      <c r="E60" s="3" t="n">
        <v>16.0</v>
      </c>
      <c r="F60" s="23"/>
      <c r="G60" s="3" t="n">
        <v>1.0</v>
      </c>
      <c r="H60" s="21" t="n">
        <f t="shared" si="1"/>
        <v>0.0625</v>
      </c>
      <c r="I60" s="22" t="str">
        <f t="shared" si="2"/>
        <v/>
      </c>
      <c r="J60" s="3" t="n">
        <v>0.0</v>
      </c>
      <c r="K60" s="3" t="n">
        <v>0.0</v>
      </c>
      <c r="Q60" s="62" t="n">
        <v>46178.0</v>
      </c>
      <c r="R60" s="20" t="n">
        <f t="shared" si="3"/>
        <v>46178.0</v>
      </c>
      <c r="S60" s="12" t="n">
        <v>91.0</v>
      </c>
      <c r="T60" s="3" t="n">
        <v>38.0</v>
      </c>
      <c r="U60" s="23"/>
      <c r="V60" s="3" t="n">
        <v>0.0</v>
      </c>
      <c r="W60" s="23"/>
      <c r="X60" s="21" t="n">
        <f t="shared" si="4"/>
        <v>0.0</v>
      </c>
      <c r="Y60" s="22" t="str">
        <f t="shared" si="6"/>
        <v/>
      </c>
      <c r="Z60" s="3" t="n">
        <v>0.0</v>
      </c>
      <c r="AA60" s="3" t="n">
        <v>1.0</v>
      </c>
      <c r="AC60" s="3"/>
      <c r="AD60" s="24"/>
      <c r="AH60" s="24"/>
    </row>
    <row r="61" spans="1:34" x14ac:dyDescent="0.2">
      <c r="B61" s="62" t="n">
        <f t="shared" si="5"/>
        <v>46179.0</v>
      </c>
      <c r="C61" s="20" t="n">
        <f t="shared" si="0"/>
        <v>46179.0</v>
      </c>
      <c r="D61" s="12" t="n">
        <v>13.0</v>
      </c>
      <c r="E61" s="3" t="n">
        <v>4.0</v>
      </c>
      <c r="F61" s="23"/>
      <c r="G61" s="3" t="n">
        <v>1.0</v>
      </c>
      <c r="H61" s="21" t="n">
        <f t="shared" si="1"/>
        <v>0.25</v>
      </c>
      <c r="I61" s="22" t="str">
        <f t="shared" si="2"/>
        <v/>
      </c>
      <c r="J61" s="3" t="n">
        <v>0.0</v>
      </c>
      <c r="K61" s="3" t="n">
        <v>0.0</v>
      </c>
      <c r="Q61" s="62" t="n">
        <v>46179.0</v>
      </c>
      <c r="R61" s="20" t="n">
        <f t="shared" si="3"/>
        <v>46179.0</v>
      </c>
      <c r="S61" s="12" t="n">
        <v>153.0</v>
      </c>
      <c r="T61" s="3" t="n">
        <v>65.0</v>
      </c>
      <c r="U61" s="23"/>
      <c r="V61" s="3" t="n">
        <v>0.0</v>
      </c>
      <c r="W61" s="23"/>
      <c r="X61" s="21" t="n">
        <f t="shared" si="4"/>
        <v>0.0</v>
      </c>
      <c r="Y61" s="22" t="str">
        <f t="shared" si="6"/>
        <v/>
      </c>
      <c r="Z61" s="3" t="n">
        <v>1.0</v>
      </c>
      <c r="AA61" s="3" t="n">
        <v>2.0</v>
      </c>
      <c r="AC61" s="3"/>
      <c r="AD61" s="24"/>
      <c r="AH61" s="24"/>
    </row>
    <row r="62" spans="1:34" x14ac:dyDescent="0.2">
      <c r="B62" s="62" t="n">
        <f t="shared" si="5"/>
        <v>46180.0</v>
      </c>
      <c r="C62" s="20" t="n">
        <f t="shared" si="0"/>
        <v>46180.0</v>
      </c>
      <c r="D62" s="12" t="n">
        <v>41.0</v>
      </c>
      <c r="E62" s="3" t="n">
        <v>12.0</v>
      </c>
      <c r="F62" s="23"/>
      <c r="G62" s="3" t="n">
        <v>1.0</v>
      </c>
      <c r="H62" s="21" t="n">
        <f t="shared" si="1"/>
        <v>0.08333333333333333</v>
      </c>
      <c r="I62" s="22" t="str">
        <f t="shared" si="2"/>
        <v/>
      </c>
      <c r="J62" s="3" t="n">
        <v>0.0</v>
      </c>
      <c r="K62" s="3" t="n">
        <v>0.0</v>
      </c>
      <c r="Q62" s="62" t="n">
        <v>46180.0</v>
      </c>
      <c r="R62" s="20" t="n">
        <f t="shared" si="3"/>
        <v>46180.0</v>
      </c>
      <c r="S62" s="12" t="n">
        <v>177.0</v>
      </c>
      <c r="T62" s="3" t="n">
        <v>68.0</v>
      </c>
      <c r="U62" s="23"/>
      <c r="V62" s="3" t="n">
        <v>0.0</v>
      </c>
      <c r="W62" s="23"/>
      <c r="X62" s="21" t="n">
        <f t="shared" si="4"/>
        <v>0.0</v>
      </c>
      <c r="Y62" s="22" t="str">
        <f t="shared" si="6"/>
        <v/>
      </c>
      <c r="Z62" s="3" t="n">
        <v>0.0</v>
      </c>
      <c r="AA62" s="3" t="n">
        <v>3.0</v>
      </c>
      <c r="AC62" s="3"/>
      <c r="AD62" s="24"/>
      <c r="AH62" s="24"/>
    </row>
    <row r="63" spans="1:34" x14ac:dyDescent="0.2">
      <c r="B63" s="62" t="n">
        <f t="shared" si="5"/>
        <v>46181.0</v>
      </c>
      <c r="C63" s="20" t="n">
        <f t="shared" si="0"/>
        <v>46181.0</v>
      </c>
      <c r="D63" s="12" t="n">
        <v>42.0</v>
      </c>
      <c r="E63" s="3" t="n">
        <v>22.0</v>
      </c>
      <c r="F63" s="23"/>
      <c r="G63" s="3" t="n">
        <v>1.0</v>
      </c>
      <c r="H63" s="21" t="n">
        <f t="shared" si="1"/>
        <v>0.045454545454545456</v>
      </c>
      <c r="I63" s="22" t="str">
        <f t="shared" si="2"/>
        <v/>
      </c>
      <c r="J63" s="3" t="n">
        <v>0.0</v>
      </c>
      <c r="K63" s="3" t="n">
        <v>1.0</v>
      </c>
      <c r="Q63" s="62" t="n">
        <v>46181.0</v>
      </c>
      <c r="R63" s="20" t="n">
        <f t="shared" si="3"/>
        <v>46181.0</v>
      </c>
      <c r="S63" s="12" t="n">
        <v>76.0</v>
      </c>
      <c r="T63" s="3" t="n">
        <v>33.0</v>
      </c>
      <c r="U63" s="23"/>
      <c r="V63" s="3" t="n">
        <v>0.0</v>
      </c>
      <c r="W63" s="23"/>
      <c r="X63" s="21" t="n">
        <f t="shared" si="4"/>
        <v>0.0</v>
      </c>
      <c r="Y63" s="22" t="str">
        <f t="shared" si="6"/>
        <v/>
      </c>
      <c r="Z63" s="3" t="n">
        <v>0.0</v>
      </c>
      <c r="AA63" s="3" t="n">
        <v>0.0</v>
      </c>
      <c r="AC63" s="3"/>
      <c r="AD63" s="24"/>
      <c r="AH63" s="24"/>
    </row>
    <row r="64" spans="1:34" x14ac:dyDescent="0.2">
      <c r="B64" s="62" t="n">
        <f t="shared" si="5"/>
        <v>46182.0</v>
      </c>
      <c r="C64" s="20" t="n">
        <f t="shared" si="0"/>
        <v>46182.0</v>
      </c>
      <c r="D64" s="12" t="n">
        <v>31.0</v>
      </c>
      <c r="E64" s="3" t="n">
        <v>15.0</v>
      </c>
      <c r="F64" s="23"/>
      <c r="G64" s="3" t="n">
        <v>1.0</v>
      </c>
      <c r="H64" s="21" t="n">
        <f t="shared" si="1"/>
        <v>0.06666666666666667</v>
      </c>
      <c r="I64" s="22" t="str">
        <f t="shared" si="2"/>
        <v/>
      </c>
      <c r="J64" s="3" t="n">
        <v>0.0</v>
      </c>
      <c r="K64" s="3" t="n">
        <v>0.0</v>
      </c>
      <c r="Q64" s="62" t="n">
        <v>46182.0</v>
      </c>
      <c r="R64" s="20" t="n">
        <f t="shared" si="3"/>
        <v>46182.0</v>
      </c>
      <c r="S64" s="12" t="n">
        <v>167.0</v>
      </c>
      <c r="T64" s="3" t="n">
        <v>57.0</v>
      </c>
      <c r="U64" s="23"/>
      <c r="V64" s="3" t="n">
        <v>0.0</v>
      </c>
      <c r="W64" s="23"/>
      <c r="X64" s="21" t="n">
        <f t="shared" si="4"/>
        <v>0.0</v>
      </c>
      <c r="Y64" s="22" t="str">
        <f t="shared" si="6"/>
        <v/>
      </c>
      <c r="Z64" s="3" t="n">
        <v>0.0</v>
      </c>
      <c r="AA64" s="3" t="n">
        <v>6.0</v>
      </c>
      <c r="AC64" s="3"/>
      <c r="AD64" s="24"/>
      <c r="AH64" s="24"/>
    </row>
    <row r="65" spans="2:34" x14ac:dyDescent="0.2">
      <c r="B65" s="62" t="n">
        <f t="shared" si="5"/>
        <v>46183.0</v>
      </c>
      <c r="C65" s="20" t="n">
        <f t="shared" si="0"/>
        <v>46183.0</v>
      </c>
      <c r="D65" s="12" t="n">
        <v>65.0</v>
      </c>
      <c r="E65" s="3" t="n">
        <v>20.0</v>
      </c>
      <c r="F65" s="23"/>
      <c r="G65" s="3" t="n">
        <v>1.0</v>
      </c>
      <c r="H65" s="21" t="n">
        <f t="shared" si="1"/>
        <v>0.05</v>
      </c>
      <c r="I65" s="22" t="str">
        <f t="shared" si="2"/>
        <v/>
      </c>
      <c r="J65" s="3" t="n">
        <v>0.0</v>
      </c>
      <c r="K65" s="3" t="n">
        <v>0.0</v>
      </c>
      <c r="Q65" s="62" t="n">
        <v>46183.0</v>
      </c>
      <c r="R65" s="20" t="n">
        <f t="shared" si="3"/>
        <v>46183.0</v>
      </c>
      <c r="S65" s="12" t="n">
        <v>106.0</v>
      </c>
      <c r="T65" s="3" t="n">
        <v>46.0</v>
      </c>
      <c r="U65" s="23"/>
      <c r="V65" s="3" t="n">
        <v>0.0</v>
      </c>
      <c r="W65" s="23"/>
      <c r="X65" s="21" t="n">
        <f t="shared" si="4"/>
        <v>0.0</v>
      </c>
      <c r="Y65" s="22" t="str">
        <f t="shared" si="6"/>
        <v/>
      </c>
      <c r="Z65" s="3" t="n">
        <v>0.0</v>
      </c>
      <c r="AA65" s="3" t="n">
        <v>1.0</v>
      </c>
      <c r="AC65" s="3"/>
      <c r="AD65" s="24"/>
      <c r="AH65" s="24"/>
    </row>
    <row r="66" spans="2:34" x14ac:dyDescent="0.2">
      <c r="B66" s="62" t="n">
        <f t="shared" si="5"/>
        <v>46184.0</v>
      </c>
      <c r="C66" s="20" t="n">
        <f t="shared" si="0"/>
        <v>46184.0</v>
      </c>
      <c r="D66" s="12" t="n">
        <v>33.0</v>
      </c>
      <c r="E66" s="3" t="n">
        <v>14.0</v>
      </c>
      <c r="F66" s="23"/>
      <c r="G66" s="3" t="n">
        <v>0.0</v>
      </c>
      <c r="H66" s="21" t="n">
        <f t="shared" si="1"/>
        <v>0.0</v>
      </c>
      <c r="I66" s="22" t="str">
        <f t="shared" si="2"/>
        <v/>
      </c>
      <c r="J66" s="3" t="n">
        <v>0.0</v>
      </c>
      <c r="K66" s="3" t="n">
        <v>0.0</v>
      </c>
      <c r="Q66" s="62" t="n">
        <v>46184.0</v>
      </c>
      <c r="R66" s="20" t="n">
        <f t="shared" si="3"/>
        <v>46184.0</v>
      </c>
      <c r="S66" s="12" t="n">
        <v>118.0</v>
      </c>
      <c r="T66" s="3" t="n">
        <v>48.0</v>
      </c>
      <c r="U66" s="23"/>
      <c r="V66" s="3" t="n">
        <v>0.0</v>
      </c>
      <c r="W66" s="23"/>
      <c r="X66" s="21" t="n">
        <f t="shared" si="4"/>
        <v>0.0</v>
      </c>
      <c r="Y66" s="22" t="str">
        <f t="shared" si="6"/>
        <v/>
      </c>
      <c r="Z66" s="3" t="n">
        <v>1.0</v>
      </c>
      <c r="AA66" s="3" t="n">
        <v>1.0</v>
      </c>
      <c r="AC66" s="3"/>
      <c r="AD66" s="24"/>
      <c r="AH66" s="24"/>
    </row>
    <row r="67" spans="2:34" x14ac:dyDescent="0.2">
      <c r="B67" s="62" t="n">
        <f t="shared" si="5"/>
        <v>46185.0</v>
      </c>
      <c r="C67" s="20" t="n">
        <f t="shared" si="0"/>
        <v>46185.0</v>
      </c>
      <c r="D67" s="12" t="n">
        <v>78.0</v>
      </c>
      <c r="E67" s="3" t="n">
        <v>21.0</v>
      </c>
      <c r="F67" s="23"/>
      <c r="G67" s="3" t="n">
        <v>3.0</v>
      </c>
      <c r="H67" s="21" t="n">
        <f t="shared" si="1"/>
        <v>0.14285714285714285</v>
      </c>
      <c r="I67" s="22" t="str">
        <f t="shared" si="2"/>
        <v/>
      </c>
      <c r="J67" s="3" t="n">
        <v>1.0</v>
      </c>
      <c r="K67" s="3" t="n">
        <v>0.0</v>
      </c>
      <c r="Q67" s="62" t="n">
        <v>46185.0</v>
      </c>
      <c r="R67" s="20" t="n">
        <f t="shared" si="3"/>
        <v>46185.0</v>
      </c>
      <c r="S67" s="12" t="n">
        <v>133.0</v>
      </c>
      <c r="T67" s="3" t="n">
        <v>56.0</v>
      </c>
      <c r="U67" s="23"/>
      <c r="V67" s="3" t="n">
        <v>0.0</v>
      </c>
      <c r="W67" s="23"/>
      <c r="X67" s="21" t="n">
        <f t="shared" si="4"/>
        <v>0.0</v>
      </c>
      <c r="Y67" s="22" t="str">
        <f t="shared" si="6"/>
        <v/>
      </c>
      <c r="Z67" s="3" t="n">
        <v>2.0</v>
      </c>
      <c r="AA67" s="3" t="n">
        <v>4.0</v>
      </c>
      <c r="AC67" s="3"/>
      <c r="AD67" s="24"/>
      <c r="AH67" s="24"/>
    </row>
    <row r="68" spans="2:34" x14ac:dyDescent="0.2">
      <c r="B68" s="62" t="n">
        <f t="shared" si="5"/>
        <v>46186.0</v>
      </c>
      <c r="C68" s="20" t="n">
        <f t="shared" si="0"/>
        <v>46186.0</v>
      </c>
      <c r="D68" s="12" t="n">
        <v>84.0</v>
      </c>
      <c r="E68" s="3" t="n">
        <v>9.0</v>
      </c>
      <c r="F68" s="23"/>
      <c r="G68" s="3" t="n">
        <v>1.0</v>
      </c>
      <c r="H68" s="21" t="n">
        <f t="shared" si="1"/>
        <v>0.1111111111111111</v>
      </c>
      <c r="I68" s="22" t="str">
        <f t="shared" si="2"/>
        <v/>
      </c>
      <c r="J68" s="3" t="n">
        <v>0.0</v>
      </c>
      <c r="K68" s="3" t="n">
        <v>1.0</v>
      </c>
      <c r="Q68" s="62" t="n">
        <v>46186.0</v>
      </c>
      <c r="R68" s="20" t="n">
        <f t="shared" si="3"/>
        <v>46186.0</v>
      </c>
      <c r="S68" s="12" t="n">
        <v>122.0</v>
      </c>
      <c r="T68" s="3" t="n">
        <v>54.0</v>
      </c>
      <c r="U68" s="23"/>
      <c r="V68" s="3" t="n">
        <v>0.0</v>
      </c>
      <c r="W68" s="23"/>
      <c r="X68" s="21" t="n">
        <f t="shared" si="4"/>
        <v>0.0</v>
      </c>
      <c r="Y68" s="22" t="str">
        <f t="shared" si="6"/>
        <v/>
      </c>
      <c r="Z68" s="3" t="n">
        <v>2.0</v>
      </c>
      <c r="AA68" s="3" t="n">
        <v>6.0</v>
      </c>
      <c r="AC68" s="3"/>
      <c r="AD68" s="24"/>
      <c r="AH68" s="24"/>
    </row>
    <row r="69" spans="2:34" x14ac:dyDescent="0.2">
      <c r="B69" s="62" t="n">
        <f t="shared" si="5"/>
        <v>46187.0</v>
      </c>
      <c r="C69" s="20" t="n">
        <f t="shared" si="0"/>
        <v>46187.0</v>
      </c>
      <c r="D69" s="12" t="n">
        <v>33.0</v>
      </c>
      <c r="E69" s="3" t="n">
        <v>9.0</v>
      </c>
      <c r="F69" s="23"/>
      <c r="G69" s="3" t="n">
        <v>0.0</v>
      </c>
      <c r="H69" s="21" t="n">
        <f t="shared" si="1"/>
        <v>0.0</v>
      </c>
      <c r="I69" s="22" t="str">
        <f t="shared" si="2"/>
        <v/>
      </c>
      <c r="J69" s="3" t="n">
        <v>0.0</v>
      </c>
      <c r="K69" s="3" t="n">
        <v>0.0</v>
      </c>
      <c r="Q69" s="62" t="n">
        <v>46187.0</v>
      </c>
      <c r="R69" s="20" t="n">
        <f t="shared" si="3"/>
        <v>46187.0</v>
      </c>
      <c r="S69" s="12" t="n">
        <v>136.0</v>
      </c>
      <c r="T69" s="3" t="n">
        <v>54.0</v>
      </c>
      <c r="U69" s="23"/>
      <c r="V69" s="3" t="n">
        <v>0.0</v>
      </c>
      <c r="W69" s="23"/>
      <c r="X69" s="21" t="n">
        <f t="shared" si="4"/>
        <v>0.0</v>
      </c>
      <c r="Y69" s="22" t="str">
        <f t="shared" si="6"/>
        <v/>
      </c>
      <c r="Z69" s="3" t="n">
        <v>0.0</v>
      </c>
      <c r="AA69" s="3" t="n">
        <v>3.0</v>
      </c>
      <c r="AC69" s="3"/>
      <c r="AD69" s="24"/>
      <c r="AH69" s="24"/>
    </row>
    <row r="70" spans="2:34" x14ac:dyDescent="0.2">
      <c r="B70" s="62" t="n">
        <f t="shared" si="5"/>
        <v>46188.0</v>
      </c>
      <c r="C70" s="20" t="n">
        <f t="shared" si="0"/>
        <v>46188.0</v>
      </c>
      <c r="D70" s="12" t="n">
        <v>89.0</v>
      </c>
      <c r="E70" s="3" t="n">
        <v>13.0</v>
      </c>
      <c r="F70" s="23"/>
      <c r="G70" s="3" t="n">
        <v>0.0</v>
      </c>
      <c r="H70" s="21" t="n">
        <f t="shared" si="1"/>
        <v>0.0</v>
      </c>
      <c r="I70" s="22" t="str">
        <f t="shared" si="2"/>
        <v/>
      </c>
      <c r="J70" s="3" t="n">
        <v>0.0</v>
      </c>
      <c r="K70" s="3" t="n">
        <v>1.0</v>
      </c>
      <c r="Q70" s="62" t="n">
        <v>46188.0</v>
      </c>
      <c r="R70" s="20" t="n">
        <f t="shared" si="3"/>
        <v>46188.0</v>
      </c>
      <c r="S70" s="12" t="n">
        <v>70.0</v>
      </c>
      <c r="T70" s="3" t="n">
        <v>32.0</v>
      </c>
      <c r="U70" s="23"/>
      <c r="V70" s="3" t="n">
        <v>0.0</v>
      </c>
      <c r="W70" s="23"/>
      <c r="X70" s="21" t="n">
        <f t="shared" si="4"/>
        <v>0.0</v>
      </c>
      <c r="Y70" s="22" t="str">
        <f t="shared" si="6"/>
        <v/>
      </c>
      <c r="Z70" s="3" t="n">
        <v>0.0</v>
      </c>
      <c r="AA70" s="3" t="n">
        <v>0.0</v>
      </c>
      <c r="AC70" s="3"/>
      <c r="AD70" s="24"/>
      <c r="AH70" s="24"/>
    </row>
    <row r="71" spans="2:34" x14ac:dyDescent="0.2">
      <c r="B71" s="62" t="n">
        <f t="shared" si="5"/>
        <v>46189.0</v>
      </c>
      <c r="C71" s="20" t="n">
        <f t="shared" si="0"/>
        <v>46189.0</v>
      </c>
      <c r="D71" s="12" t="n">
        <v>102.0</v>
      </c>
      <c r="E71" s="3" t="n">
        <v>16.0</v>
      </c>
      <c r="F71" s="23"/>
      <c r="G71" s="3" t="n">
        <v>1.0</v>
      </c>
      <c r="H71" s="21" t="n">
        <f t="shared" si="1"/>
        <v>0.0625</v>
      </c>
      <c r="I71" s="22" t="str">
        <f t="shared" si="2"/>
        <v/>
      </c>
      <c r="J71" s="3" t="n">
        <v>0.0</v>
      </c>
      <c r="K71" s="3" t="n">
        <v>0.0</v>
      </c>
      <c r="Q71" s="62" t="n">
        <v>46189.0</v>
      </c>
      <c r="R71" s="20" t="n">
        <f t="shared" si="3"/>
        <v>46189.0</v>
      </c>
      <c r="S71" s="12" t="n">
        <v>102.0</v>
      </c>
      <c r="T71" s="3" t="n">
        <v>47.0</v>
      </c>
      <c r="U71" s="23"/>
      <c r="V71" s="3" t="n">
        <v>0.0</v>
      </c>
      <c r="W71" s="23"/>
      <c r="X71" s="21" t="n">
        <f t="shared" si="4"/>
        <v>0.0</v>
      </c>
      <c r="Y71" s="22" t="str">
        <f t="shared" si="6"/>
        <v/>
      </c>
      <c r="Z71" s="3" t="n">
        <v>1.0</v>
      </c>
      <c r="AA71" s="3" t="n">
        <v>1.0</v>
      </c>
      <c r="AC71" s="3"/>
      <c r="AD71" s="24"/>
      <c r="AH71" s="24"/>
    </row>
    <row r="72" spans="2:34" x14ac:dyDescent="0.2">
      <c r="B72" s="62" t="n">
        <f t="shared" si="5"/>
        <v>46190.0</v>
      </c>
      <c r="C72" s="20" t="n">
        <f t="shared" si="0"/>
        <v>46190.0</v>
      </c>
      <c r="D72" s="12" t="n">
        <v>34.0</v>
      </c>
      <c r="E72" s="3" t="n">
        <v>20.0</v>
      </c>
      <c r="F72" s="23"/>
      <c r="G72" s="3" t="n">
        <v>0.0</v>
      </c>
      <c r="H72" s="21" t="n">
        <f t="shared" si="1"/>
        <v>0.0</v>
      </c>
      <c r="I72" s="22" t="str">
        <f t="shared" si="2"/>
        <v/>
      </c>
      <c r="J72" s="3" t="n">
        <v>0.0</v>
      </c>
      <c r="K72" s="3" t="n">
        <v>0.0</v>
      </c>
      <c r="Q72" s="62" t="n">
        <v>46190.0</v>
      </c>
      <c r="R72" s="20" t="n">
        <f t="shared" si="3"/>
        <v>46190.0</v>
      </c>
      <c r="S72" s="12" t="n">
        <v>113.0</v>
      </c>
      <c r="T72" s="3" t="n">
        <v>49.0</v>
      </c>
      <c r="U72" s="23"/>
      <c r="V72" s="3" t="n">
        <v>0.0</v>
      </c>
      <c r="W72" s="23"/>
      <c r="X72" s="21" t="n">
        <f t="shared" si="4"/>
        <v>0.0</v>
      </c>
      <c r="Y72" s="22" t="str">
        <f t="shared" si="6"/>
        <v/>
      </c>
      <c r="Z72" s="3" t="n">
        <v>0.0</v>
      </c>
      <c r="AA72" s="3" t="n">
        <v>3.0</v>
      </c>
      <c r="AC72" s="3"/>
      <c r="AD72" s="24"/>
      <c r="AH72" s="24"/>
    </row>
    <row r="73" spans="2:34" x14ac:dyDescent="0.2">
      <c r="B73" s="62" t="n">
        <f t="shared" si="5"/>
        <v>46191.0</v>
      </c>
      <c r="C73" s="20" t="n">
        <f t="shared" si="0"/>
        <v>46191.0</v>
      </c>
      <c r="D73" s="12" t="n">
        <v>82.0</v>
      </c>
      <c r="E73" s="3" t="n">
        <v>24.0</v>
      </c>
      <c r="F73" s="23"/>
      <c r="G73" s="3" t="n">
        <v>2.0</v>
      </c>
      <c r="H73" s="21" t="n">
        <f t="shared" si="1"/>
        <v>0.08333333333333333</v>
      </c>
      <c r="I73" s="22" t="str">
        <f t="shared" si="2"/>
        <v/>
      </c>
      <c r="J73" s="3" t="n">
        <v>0.0</v>
      </c>
      <c r="K73" s="3" t="n">
        <v>0.0</v>
      </c>
      <c r="Q73" s="62" t="n">
        <v>46191.0</v>
      </c>
      <c r="R73" s="20" t="n">
        <f t="shared" si="3"/>
        <v>46191.0</v>
      </c>
      <c r="S73" s="12" t="n">
        <v>151.0</v>
      </c>
      <c r="T73" s="3" t="n">
        <v>48.0</v>
      </c>
      <c r="U73" s="23"/>
      <c r="V73" s="3" t="n">
        <v>0.0</v>
      </c>
      <c r="W73" s="23"/>
      <c r="X73" s="21" t="n">
        <f t="shared" si="4"/>
        <v>0.0</v>
      </c>
      <c r="Y73" s="22" t="str">
        <f t="shared" si="6"/>
        <v/>
      </c>
      <c r="Z73" s="3" t="n">
        <v>0.0</v>
      </c>
      <c r="AA73" s="3" t="n">
        <v>1.0</v>
      </c>
      <c r="AC73" s="3"/>
      <c r="AD73" s="24"/>
      <c r="AH73" s="24"/>
    </row>
    <row r="74" spans="2:34" x14ac:dyDescent="0.2">
      <c r="B74" s="62" t="n">
        <f t="shared" si="5"/>
        <v>46192.0</v>
      </c>
      <c r="C74" s="20" t="n">
        <f t="shared" si="0"/>
        <v>46192.0</v>
      </c>
      <c r="D74" s="12" t="n">
        <v>66.0</v>
      </c>
      <c r="E74" s="3" t="n">
        <v>19.0</v>
      </c>
      <c r="F74" s="23"/>
      <c r="G74" s="3" t="n">
        <v>2.0</v>
      </c>
      <c r="H74" s="21" t="n">
        <f t="shared" si="1"/>
        <v>0.10526315789473684</v>
      </c>
      <c r="I74" s="22" t="str">
        <f t="shared" si="2"/>
        <v/>
      </c>
      <c r="J74" s="3" t="n">
        <v>1.0</v>
      </c>
      <c r="K74" s="3" t="n">
        <v>0.0</v>
      </c>
      <c r="Q74" s="62" t="n">
        <v>46192.0</v>
      </c>
      <c r="R74" s="20" t="n">
        <f t="shared" si="3"/>
        <v>46192.0</v>
      </c>
      <c r="S74" s="12" t="n">
        <v>155.0</v>
      </c>
      <c r="T74" s="3" t="n">
        <v>61.0</v>
      </c>
      <c r="U74" s="23"/>
      <c r="V74" s="3" t="n">
        <v>0.0</v>
      </c>
      <c r="W74" s="23"/>
      <c r="X74" s="21" t="n">
        <f t="shared" si="4"/>
        <v>0.0</v>
      </c>
      <c r="Y74" s="22" t="str">
        <f t="shared" si="6"/>
        <v/>
      </c>
      <c r="Z74" s="3" t="n">
        <v>0.0</v>
      </c>
      <c r="AA74" s="3" t="n">
        <v>5.0</v>
      </c>
      <c r="AC74" s="3"/>
      <c r="AD74" s="24"/>
      <c r="AH74" s="24"/>
    </row>
    <row r="75" spans="2:34" x14ac:dyDescent="0.2">
      <c r="B75" s="62" t="n">
        <f t="shared" si="5"/>
        <v>46193.0</v>
      </c>
      <c r="C75" s="20" t="n">
        <f t="shared" si="0"/>
        <v>46193.0</v>
      </c>
      <c r="D75" s="12" t="n">
        <v>32.0</v>
      </c>
      <c r="E75" s="3" t="n">
        <v>11.0</v>
      </c>
      <c r="F75" s="23"/>
      <c r="G75" s="3" t="n">
        <v>0.0</v>
      </c>
      <c r="H75" s="21" t="n">
        <f t="shared" si="1"/>
        <v>0.0</v>
      </c>
      <c r="I75" s="22" t="str">
        <f t="shared" si="2"/>
        <v/>
      </c>
      <c r="J75" s="3" t="n">
        <v>0.0</v>
      </c>
      <c r="K75" s="3" t="n">
        <v>0.0</v>
      </c>
      <c r="Q75" s="62" t="n">
        <v>46193.0</v>
      </c>
      <c r="R75" s="20" t="n">
        <f t="shared" si="3"/>
        <v>46193.0</v>
      </c>
      <c r="S75" s="12" t="n">
        <v>168.0</v>
      </c>
      <c r="T75" s="3" t="n">
        <v>71.0</v>
      </c>
      <c r="U75" s="23"/>
      <c r="V75" s="3" t="n">
        <v>0.0</v>
      </c>
      <c r="W75" s="23"/>
      <c r="X75" s="21" t="n">
        <f t="shared" si="4"/>
        <v>0.0</v>
      </c>
      <c r="Y75" s="22" t="str">
        <f t="shared" si="6"/>
        <v/>
      </c>
      <c r="Z75" s="3" t="n">
        <v>5.0</v>
      </c>
      <c r="AA75" s="3" t="n">
        <v>6.0</v>
      </c>
      <c r="AC75" s="3"/>
      <c r="AD75" s="24"/>
      <c r="AH75" s="24"/>
    </row>
    <row r="76" spans="2:34" x14ac:dyDescent="0.2">
      <c r="B76" s="62" t="n">
        <f t="shared" si="5"/>
        <v>46194.0</v>
      </c>
      <c r="C76" s="20" t="n">
        <f t="shared" si="0"/>
        <v>46194.0</v>
      </c>
      <c r="D76" s="12" t="n">
        <v>38.0</v>
      </c>
      <c r="E76" s="3" t="n">
        <v>15.0</v>
      </c>
      <c r="F76" s="23"/>
      <c r="G76" s="3" t="n">
        <v>0.0</v>
      </c>
      <c r="H76" s="21" t="n">
        <f t="shared" si="1"/>
        <v>0.0</v>
      </c>
      <c r="I76" s="22" t="str">
        <f t="shared" si="2"/>
        <v/>
      </c>
      <c r="J76" s="3" t="n">
        <v>0.0</v>
      </c>
      <c r="K76" s="3" t="n">
        <v>0.0</v>
      </c>
      <c r="Q76" s="62" t="n">
        <v>46194.0</v>
      </c>
      <c r="R76" s="20" t="n">
        <f t="shared" si="3"/>
        <v>46194.0</v>
      </c>
      <c r="S76" s="12" t="n">
        <v>106.0</v>
      </c>
      <c r="T76" s="3" t="n">
        <v>50.0</v>
      </c>
      <c r="U76" s="23"/>
      <c r="V76" s="3" t="n">
        <v>0.0</v>
      </c>
      <c r="W76" s="23"/>
      <c r="X76" s="21" t="n">
        <f t="shared" si="4"/>
        <v>0.0</v>
      </c>
      <c r="Y76" s="22" t="str">
        <f t="shared" si="6"/>
        <v/>
      </c>
      <c r="Z76" s="3" t="n">
        <v>0.0</v>
      </c>
      <c r="AA76" s="3" t="n">
        <v>3.0</v>
      </c>
      <c r="AC76" s="3"/>
      <c r="AD76" s="24"/>
      <c r="AH76" s="24"/>
    </row>
    <row r="77" spans="2:34" x14ac:dyDescent="0.2">
      <c r="B77" s="62" t="n">
        <f t="shared" si="5"/>
        <v>46195.0</v>
      </c>
      <c r="C77" s="20" t="n">
        <f t="shared" si="0"/>
        <v>46195.0</v>
      </c>
      <c r="D77" s="12" t="n">
        <v>59.0</v>
      </c>
      <c r="E77" s="3" t="n">
        <v>10.0</v>
      </c>
      <c r="F77" s="23"/>
      <c r="G77" s="3" t="n">
        <v>0.0</v>
      </c>
      <c r="H77" s="21" t="n">
        <f t="shared" si="1"/>
        <v>0.0</v>
      </c>
      <c r="I77" s="22" t="str">
        <f t="shared" si="2"/>
        <v/>
      </c>
      <c r="J77" s="3" t="n">
        <v>0.0</v>
      </c>
      <c r="K77" s="3" t="n">
        <v>0.0</v>
      </c>
      <c r="Q77" s="62" t="n">
        <v>46195.0</v>
      </c>
      <c r="R77" s="20" t="n">
        <f t="shared" si="3"/>
        <v>46195.0</v>
      </c>
      <c r="S77" s="12" t="n">
        <v>94.0</v>
      </c>
      <c r="T77" s="3" t="n">
        <v>38.0</v>
      </c>
      <c r="U77" s="23"/>
      <c r="V77" s="3" t="n">
        <v>0.0</v>
      </c>
      <c r="W77" s="23"/>
      <c r="X77" s="21" t="n">
        <f t="shared" si="4"/>
        <v>0.0</v>
      </c>
      <c r="Y77" s="22" t="str">
        <f t="shared" si="6"/>
        <v/>
      </c>
      <c r="Z77" s="3" t="n">
        <v>0.0</v>
      </c>
      <c r="AA77" s="3" t="n">
        <v>3.0</v>
      </c>
      <c r="AC77" s="3"/>
      <c r="AD77" s="24"/>
      <c r="AH77" s="24"/>
    </row>
    <row r="78" spans="2:34" x14ac:dyDescent="0.2">
      <c r="B78" s="62" t="n">
        <f t="shared" si="5"/>
        <v>46196.0</v>
      </c>
      <c r="C78" s="20" t="n">
        <f t="shared" si="0"/>
        <v>46196.0</v>
      </c>
      <c r="D78" s="12" t="n">
        <v>64.0</v>
      </c>
      <c r="E78" s="3" t="n">
        <v>25.0</v>
      </c>
      <c r="F78" s="23"/>
      <c r="G78" s="3" t="n">
        <v>1.0</v>
      </c>
      <c r="H78" s="21" t="n">
        <f t="shared" si="1"/>
        <v>0.04</v>
      </c>
      <c r="I78" s="22" t="str">
        <f t="shared" si="2"/>
        <v/>
      </c>
      <c r="J78" s="3" t="n">
        <v>0.0</v>
      </c>
      <c r="K78" s="3" t="n">
        <v>0.0</v>
      </c>
      <c r="Q78" s="62" t="n">
        <v>46196.0</v>
      </c>
      <c r="R78" s="20" t="n">
        <f t="shared" si="3"/>
        <v>46196.0</v>
      </c>
      <c r="S78" s="12" t="n">
        <v>58.0</v>
      </c>
      <c r="T78" s="3" t="n">
        <v>28.0</v>
      </c>
      <c r="U78" s="23"/>
      <c r="V78" s="3" t="n">
        <v>0.0</v>
      </c>
      <c r="W78" s="23"/>
      <c r="X78" s="21" t="n">
        <f t="shared" si="4"/>
        <v>0.0</v>
      </c>
      <c r="Y78" s="22" t="str">
        <f t="shared" si="6"/>
        <v/>
      </c>
      <c r="Z78" s="3" t="n">
        <v>0.0</v>
      </c>
      <c r="AA78" s="3" t="n">
        <v>2.0</v>
      </c>
      <c r="AC78" s="3"/>
      <c r="AD78" s="24"/>
      <c r="AH78" s="24"/>
    </row>
    <row r="79" spans="2:34" x14ac:dyDescent="0.2">
      <c r="B79" s="62" t="n">
        <f t="shared" si="5"/>
        <v>46197.0</v>
      </c>
      <c r="C79" s="20" t="n">
        <f t="shared" si="0"/>
        <v>46197.0</v>
      </c>
      <c r="D79" s="12" t="n">
        <v>30.0</v>
      </c>
      <c r="E79" s="3" t="n">
        <v>12.0</v>
      </c>
      <c r="F79" s="23"/>
      <c r="G79" s="3" t="n">
        <v>2.0</v>
      </c>
      <c r="H79" s="21" t="n">
        <f t="shared" si="1"/>
        <v>0.16666666666666666</v>
      </c>
      <c r="I79" s="22" t="str">
        <f t="shared" si="2"/>
        <v/>
      </c>
      <c r="J79" s="3" t="n">
        <v>0.0</v>
      </c>
      <c r="K79" s="3" t="n">
        <v>0.0</v>
      </c>
      <c r="Q79" s="62" t="n">
        <v>46197.0</v>
      </c>
      <c r="R79" s="20" t="n">
        <f t="shared" si="3"/>
        <v>46197.0</v>
      </c>
      <c r="S79" s="12" t="n">
        <v>55.0</v>
      </c>
      <c r="T79" s="3" t="n">
        <v>26.0</v>
      </c>
      <c r="U79" s="23"/>
      <c r="V79" s="3" t="n">
        <v>0.0</v>
      </c>
      <c r="W79" s="23"/>
      <c r="X79" s="21" t="n">
        <f t="shared" si="4"/>
        <v>0.0</v>
      </c>
      <c r="Y79" s="22" t="str">
        <f t="shared" si="6"/>
        <v/>
      </c>
      <c r="Z79" s="3" t="n">
        <v>0.0</v>
      </c>
      <c r="AA79" s="3" t="n">
        <v>1.0</v>
      </c>
      <c r="AC79" s="3"/>
      <c r="AD79" s="24"/>
      <c r="AH79" s="24"/>
    </row>
    <row r="80" spans="2:34" x14ac:dyDescent="0.2">
      <c r="B80" s="62" t="n">
        <f t="shared" si="5"/>
        <v>46198.0</v>
      </c>
      <c r="C80" s="20" t="n">
        <f t="shared" si="0"/>
        <v>46198.0</v>
      </c>
      <c r="D80" s="12"/>
      <c r="E80" s="3"/>
      <c r="F80" s="23"/>
      <c r="G80" s="3"/>
      <c r="H80" s="21" t="str">
        <f t="shared" si="1"/>
        <v/>
      </c>
      <c r="I80" s="22" t="str">
        <f t="shared" si="2"/>
        <v/>
      </c>
      <c r="J80" s="3"/>
      <c r="K80" s="3"/>
      <c r="Q80" s="62"/>
      <c r="R80" s="20" t="str">
        <f t="shared" si="3"/>
        <v/>
      </c>
      <c r="S80" s="12"/>
      <c r="T80" s="3"/>
      <c r="U80" s="23"/>
      <c r="V80" s="3"/>
      <c r="W80" s="23"/>
      <c r="X80" s="21"/>
      <c r="Y80" s="22"/>
      <c r="Z80" s="3"/>
      <c r="AA80" s="3"/>
      <c r="AC80" s="3"/>
      <c r="AD80" s="24"/>
      <c r="AH80" s="24"/>
    </row>
    <row r="81" spans="2:34" x14ac:dyDescent="0.2">
      <c r="B81" s="62" t="n">
        <f t="shared" si="5"/>
        <v>46199.0</v>
      </c>
      <c r="C81" s="20" t="n">
        <f t="shared" si="0"/>
        <v>46199.0</v>
      </c>
      <c r="D81" s="12"/>
      <c r="E81" s="3"/>
      <c r="F81" s="23"/>
      <c r="G81" s="3"/>
      <c r="H81" s="21" t="str">
        <f t="shared" si="1"/>
        <v/>
      </c>
      <c r="I81" s="22" t="str">
        <f t="shared" si="2"/>
        <v/>
      </c>
      <c r="J81" s="3"/>
      <c r="K81" s="3"/>
      <c r="Q81" s="62"/>
      <c r="R81" s="20" t="str">
        <f t="shared" si="3"/>
        <v/>
      </c>
      <c r="S81" s="12"/>
      <c r="T81" s="3"/>
      <c r="U81" s="23"/>
      <c r="V81" s="3"/>
      <c r="W81" s="23"/>
      <c r="X81" s="21"/>
      <c r="Y81" s="22"/>
      <c r="Z81" s="3"/>
      <c r="AA81" s="3"/>
      <c r="AC81" s="3"/>
      <c r="AD81" s="24"/>
      <c r="AH81" s="24"/>
    </row>
    <row r="82" spans="2:34" x14ac:dyDescent="0.2">
      <c r="B82" s="62" t="n">
        <f t="shared" si="5"/>
        <v>46200.0</v>
      </c>
      <c r="C82" s="20" t="n">
        <f t="shared" si="0"/>
        <v>46200.0</v>
      </c>
      <c r="D82" s="12"/>
      <c r="E82" s="3"/>
      <c r="F82" s="23"/>
      <c r="G82" s="3"/>
      <c r="H82" s="21" t="str">
        <f t="shared" si="1"/>
        <v/>
      </c>
      <c r="I82" s="22" t="str">
        <f t="shared" si="2"/>
        <v/>
      </c>
      <c r="J82" s="3"/>
      <c r="K82" s="3"/>
      <c r="Q82" s="62"/>
      <c r="R82" s="20" t="str">
        <f t="shared" si="3"/>
        <v/>
      </c>
      <c r="S82" s="12"/>
      <c r="T82" s="3"/>
      <c r="U82" s="23"/>
      <c r="V82" s="3"/>
      <c r="W82" s="23"/>
      <c r="X82" s="21"/>
      <c r="Y82" s="22"/>
      <c r="Z82" s="3"/>
      <c r="AA82" s="3"/>
      <c r="AC82" s="3"/>
      <c r="AD82" s="24"/>
      <c r="AH82" s="24"/>
    </row>
    <row r="83" spans="2:34" x14ac:dyDescent="0.2">
      <c r="B83" s="62" t="n">
        <f t="shared" si="5"/>
        <v>46201.0</v>
      </c>
      <c r="C83" s="20" t="n">
        <f t="shared" si="0"/>
        <v>46201.0</v>
      </c>
      <c r="D83" s="12"/>
      <c r="E83" s="3"/>
      <c r="F83" s="23"/>
      <c r="G83" s="3"/>
      <c r="H83" s="21" t="str">
        <f t="shared" si="1"/>
        <v/>
      </c>
      <c r="I83" s="22" t="str">
        <f t="shared" si="2"/>
        <v/>
      </c>
      <c r="J83" s="3"/>
      <c r="K83" s="3"/>
      <c r="Q83" s="62"/>
      <c r="R83" s="20" t="str">
        <f t="shared" si="3"/>
        <v/>
      </c>
      <c r="S83" s="12"/>
      <c r="T83" s="3"/>
      <c r="U83" s="23"/>
      <c r="V83" s="3"/>
      <c r="W83" s="23"/>
      <c r="X83" s="21"/>
      <c r="Y83" s="22"/>
      <c r="Z83" s="3"/>
      <c r="AA83" s="3"/>
      <c r="AC83" s="3"/>
      <c r="AD83" s="24"/>
      <c r="AH83" s="24"/>
    </row>
    <row r="84" spans="2:34" x14ac:dyDescent="0.2">
      <c r="B84" s="62" t="n">
        <f t="shared" si="5"/>
        <v>46202.0</v>
      </c>
      <c r="C84" s="20" t="n">
        <f t="shared" si="0"/>
        <v>46202.0</v>
      </c>
      <c r="D84" s="12"/>
      <c r="E84" s="3"/>
      <c r="F84" s="23"/>
      <c r="G84" s="3"/>
      <c r="H84" s="21" t="str">
        <f t="shared" si="1"/>
        <v/>
      </c>
      <c r="I84" s="22" t="str">
        <f t="shared" si="2"/>
        <v/>
      </c>
      <c r="J84" s="3"/>
      <c r="K84" s="3"/>
      <c r="Q84" s="62"/>
      <c r="R84" s="20" t="str">
        <f t="shared" si="3"/>
        <v/>
      </c>
      <c r="S84" s="12"/>
      <c r="T84" s="3"/>
      <c r="U84" s="23"/>
      <c r="V84" s="3"/>
      <c r="W84" s="23"/>
      <c r="X84" s="21"/>
      <c r="Y84" s="22"/>
      <c r="Z84" s="3"/>
      <c r="AA84" s="3"/>
      <c r="AC84" s="3"/>
      <c r="AD84" s="24"/>
      <c r="AH84" s="24"/>
    </row>
    <row r="85" spans="2:34" x14ac:dyDescent="0.2">
      <c r="B85" s="62" t="n">
        <f t="shared" si="5"/>
        <v>46203.0</v>
      </c>
      <c r="C85" s="20" t="n">
        <f t="shared" si="0"/>
        <v>46203.0</v>
      </c>
      <c r="D85" s="12"/>
      <c r="E85" s="3"/>
      <c r="F85" s="23"/>
      <c r="G85" s="3"/>
      <c r="H85" s="21" t="str">
        <f t="shared" si="1"/>
        <v/>
      </c>
      <c r="I85" s="22" t="str">
        <f t="shared" si="2"/>
        <v/>
      </c>
      <c r="J85" s="3"/>
      <c r="K85" s="3"/>
      <c r="Q85" s="62"/>
      <c r="R85" s="20" t="str">
        <f t="shared" si="3"/>
        <v/>
      </c>
      <c r="S85" s="12"/>
      <c r="T85" s="3"/>
      <c r="U85" s="23"/>
      <c r="V85" s="3"/>
      <c r="W85" s="23"/>
      <c r="X85" s="21"/>
      <c r="Y85" s="22"/>
      <c r="Z85" s="3"/>
      <c r="AA85" s="3"/>
      <c r="AC85" s="3"/>
      <c r="AD85" s="24"/>
      <c r="AH85" s="24"/>
    </row>
    <row r="86" spans="2:34" x14ac:dyDescent="0.2">
      <c r="B86" s="62" t="n">
        <f t="shared" si="5"/>
        <v>46204.0</v>
      </c>
      <c r="C86" s="20" t="n">
        <f t="shared" si="0"/>
        <v>46204.0</v>
      </c>
      <c r="D86" s="12"/>
      <c r="E86" s="3"/>
      <c r="F86" s="23"/>
      <c r="G86" s="3"/>
      <c r="H86" s="21" t="str">
        <f t="shared" si="1"/>
        <v/>
      </c>
      <c r="I86" s="22" t="str">
        <f t="shared" si="2"/>
        <v/>
      </c>
      <c r="J86" s="3"/>
      <c r="K86" s="3"/>
      <c r="Q86" s="62"/>
      <c r="R86" s="20" t="str">
        <f t="shared" si="3"/>
        <v/>
      </c>
      <c r="S86" s="12"/>
      <c r="T86" s="3"/>
      <c r="U86" s="23"/>
      <c r="V86" s="3"/>
      <c r="W86" s="23"/>
      <c r="X86" s="21"/>
      <c r="Y86" s="22"/>
      <c r="Z86" s="3"/>
      <c r="AA86" s="3"/>
      <c r="AC86" s="3"/>
      <c r="AD86" s="24"/>
      <c r="AH86" s="24"/>
    </row>
    <row r="87" spans="2:34" x14ac:dyDescent="0.2">
      <c r="B87" s="62" t="n">
        <f t="shared" si="5"/>
        <v>46205.0</v>
      </c>
      <c r="C87" s="20" t="n">
        <f t="shared" si="0"/>
        <v>46205.0</v>
      </c>
      <c r="D87" s="12"/>
      <c r="E87" s="3"/>
      <c r="F87" s="23"/>
      <c r="G87" s="3"/>
      <c r="H87" s="21" t="str">
        <f t="shared" si="1"/>
        <v/>
      </c>
      <c r="I87" s="22" t="str">
        <f t="shared" si="2"/>
        <v/>
      </c>
      <c r="J87" s="3"/>
      <c r="K87" s="3"/>
      <c r="Q87" s="62"/>
      <c r="R87" s="20" t="str">
        <f t="shared" si="3"/>
        <v/>
      </c>
      <c r="S87" s="12"/>
      <c r="T87" s="3"/>
      <c r="U87" s="23"/>
      <c r="V87" s="3"/>
      <c r="W87" s="23"/>
      <c r="X87" s="21" t="str">
        <f t="shared" si="4"/>
        <v/>
      </c>
      <c r="Y87" s="22" t="str">
        <f t="shared" si="6"/>
        <v/>
      </c>
      <c r="Z87" s="3"/>
      <c r="AA87" s="3"/>
      <c r="AC87" s="3"/>
      <c r="AD87" s="24"/>
      <c r="AH87" s="24"/>
    </row>
    <row r="88" spans="2:34" x14ac:dyDescent="0.2">
      <c r="B88" s="62" t="n">
        <f t="shared" si="5"/>
        <v>46206.0</v>
      </c>
      <c r="C88" s="20" t="n">
        <f t="shared" si="0"/>
        <v>46206.0</v>
      </c>
      <c r="D88" s="12"/>
      <c r="E88" s="3"/>
      <c r="F88" s="23"/>
      <c r="G88" s="3"/>
      <c r="H88" s="21" t="str">
        <f t="shared" si="1"/>
        <v/>
      </c>
      <c r="I88" s="22" t="str">
        <f t="shared" si="2"/>
        <v/>
      </c>
      <c r="J88" s="3"/>
      <c r="K88" s="3"/>
      <c r="Q88" s="62"/>
      <c r="R88" s="20" t="str">
        <f t="shared" si="3"/>
        <v/>
      </c>
      <c r="S88" s="12"/>
      <c r="T88" s="3"/>
      <c r="U88" s="23"/>
      <c r="V88" s="3"/>
      <c r="W88" s="23"/>
      <c r="X88" s="21" t="str">
        <f t="shared" si="4"/>
        <v/>
      </c>
      <c r="Y88" s="22" t="str">
        <f t="shared" si="6"/>
        <v/>
      </c>
      <c r="Z88" s="3"/>
      <c r="AA88" s="3"/>
      <c r="AC88" s="3"/>
      <c r="AD88" s="24"/>
      <c r="AH88" s="24"/>
    </row>
    <row r="89" spans="2:34" x14ac:dyDescent="0.2">
      <c r="B89" s="62" t="n">
        <f t="shared" si="5"/>
        <v>46207.0</v>
      </c>
      <c r="C89" s="20" t="n">
        <f>IF(B89="","",B89)</f>
        <v>46207.0</v>
      </c>
      <c r="D89" s="12"/>
      <c r="E89" s="3"/>
      <c r="F89" s="23"/>
      <c r="G89" s="3"/>
      <c r="H89" s="21" t="str">
        <f t="shared" si="1"/>
        <v/>
      </c>
      <c r="I89" s="22" t="str">
        <f t="shared" si="2"/>
        <v/>
      </c>
      <c r="J89" s="3"/>
      <c r="K89" s="3"/>
      <c r="Q89" s="62"/>
      <c r="R89" s="20" t="str">
        <f t="shared" si="3"/>
        <v/>
      </c>
      <c r="S89" s="12"/>
      <c r="T89" s="3"/>
      <c r="U89" s="23"/>
      <c r="V89" s="3"/>
      <c r="W89" s="23"/>
      <c r="X89" s="21" t="str">
        <f t="shared" si="4"/>
        <v/>
      </c>
      <c r="Y89" s="22" t="str">
        <f t="shared" si="6"/>
        <v/>
      </c>
      <c r="Z89" s="3"/>
      <c r="AA89" s="3"/>
      <c r="AC89" s="3"/>
      <c r="AD89" s="24"/>
      <c r="AH89" s="24"/>
    </row>
    <row r="90" spans="2:34" x14ac:dyDescent="0.2">
      <c r="B90" s="62" t="n">
        <f t="shared" si="5"/>
        <v>46208.0</v>
      </c>
      <c r="C90" s="20" t="n">
        <f>IF(B90="","",B90)</f>
        <v>46208.0</v>
      </c>
      <c r="D90" s="12"/>
      <c r="E90" s="3"/>
      <c r="F90" s="23"/>
      <c r="G90" s="3"/>
      <c r="H90" s="21" t="str">
        <f t="shared" si="1"/>
        <v/>
      </c>
      <c r="I90" s="22" t="str">
        <f t="shared" si="2"/>
        <v/>
      </c>
      <c r="J90" s="3"/>
      <c r="K90" s="3"/>
      <c r="Q90" s="62"/>
      <c r="R90" s="20" t="str">
        <f t="shared" si="3"/>
        <v/>
      </c>
      <c r="S90" s="12"/>
      <c r="T90" s="3"/>
      <c r="U90" s="23"/>
      <c r="V90" s="3"/>
      <c r="W90" s="23"/>
      <c r="X90" s="21" t="str">
        <f t="shared" si="4"/>
        <v/>
      </c>
      <c r="Y90" s="22" t="str">
        <f t="shared" si="6"/>
        <v/>
      </c>
      <c r="Z90" s="3"/>
      <c r="AA90" s="3"/>
      <c r="AC90" s="3"/>
      <c r="AD90" s="24"/>
      <c r="AH90" s="24"/>
    </row>
    <row r="91" spans="2:34" x14ac:dyDescent="0.2">
      <c r="B91" s="62" t="n">
        <f t="shared" si="5"/>
        <v>46209.0</v>
      </c>
      <c r="C91" s="20" t="n">
        <f>IF(B91="","",B91)</f>
        <v>46209.0</v>
      </c>
      <c r="D91" s="12"/>
      <c r="E91" s="3"/>
      <c r="F91" s="23"/>
      <c r="G91" s="3"/>
      <c r="H91" s="21" t="str">
        <f t="shared" si="1"/>
        <v/>
      </c>
      <c r="I91" s="22" t="str">
        <f t="shared" si="2"/>
        <v/>
      </c>
      <c r="J91" s="3"/>
      <c r="K91" s="3"/>
      <c r="Q91" s="62"/>
      <c r="R91" s="20" t="str">
        <f t="shared" si="3"/>
        <v/>
      </c>
      <c r="S91" s="12"/>
      <c r="T91" s="3"/>
      <c r="U91" s="23"/>
      <c r="V91" s="3"/>
      <c r="W91" s="23"/>
      <c r="X91" s="21" t="str">
        <f t="shared" si="4"/>
        <v/>
      </c>
      <c r="Y91" s="22" t="str">
        <f t="shared" si="6"/>
        <v/>
      </c>
      <c r="Z91" s="3"/>
      <c r="AA91" s="3"/>
      <c r="AC91" s="3"/>
      <c r="AD91" s="24"/>
      <c r="AH91" s="24"/>
    </row>
    <row r="92" spans="2:34" x14ac:dyDescent="0.2">
      <c r="B92" s="62" t="n">
        <f t="shared" si="5"/>
        <v>46210.0</v>
      </c>
      <c r="C92" s="20" t="n">
        <f>IF(B92="","",B92)</f>
        <v>46210.0</v>
      </c>
      <c r="D92" s="12"/>
      <c r="E92" s="3"/>
      <c r="F92" s="23"/>
      <c r="G92" s="3"/>
      <c r="H92" s="21" t="str">
        <f t="shared" si="1"/>
        <v/>
      </c>
      <c r="I92" s="22" t="str">
        <f t="shared" si="2"/>
        <v/>
      </c>
      <c r="J92" s="3"/>
      <c r="K92" s="3"/>
      <c r="Q92" s="62"/>
      <c r="R92" s="20" t="str">
        <f t="shared" si="3"/>
        <v/>
      </c>
      <c r="S92" s="12"/>
      <c r="T92" s="3"/>
      <c r="U92" s="23"/>
      <c r="V92" s="3"/>
      <c r="W92" s="23"/>
      <c r="X92" s="21" t="str">
        <f t="shared" si="4"/>
        <v/>
      </c>
      <c r="Y92" s="22" t="str">
        <f t="shared" si="6"/>
        <v/>
      </c>
      <c r="Z92" s="3"/>
      <c r="AA92" s="3"/>
      <c r="AC92" s="3"/>
      <c r="AD92" s="24"/>
      <c r="AH92" s="24"/>
    </row>
    <row r="93" spans="2:34" x14ac:dyDescent="0.2">
      <c r="B93" s="62" t="n">
        <f t="shared" si="5"/>
        <v>46211.0</v>
      </c>
      <c r="C93" s="32" t="n">
        <f>IF(B93="","",B93)</f>
        <v>46211.0</v>
      </c>
      <c r="D93" s="33"/>
      <c r="E93" s="31"/>
      <c r="F93" s="34"/>
      <c r="G93" s="31"/>
      <c r="H93" s="21" t="str">
        <f t="shared" si="1"/>
        <v/>
      </c>
      <c r="I93" s="22" t="str">
        <f t="shared" si="2"/>
        <v/>
      </c>
      <c r="J93" s="3"/>
      <c r="K93" s="31"/>
      <c r="Q93" s="62"/>
      <c r="R93" s="20" t="str">
        <f t="shared" si="3"/>
        <v/>
      </c>
      <c r="S93" s="12"/>
      <c r="T93" s="3"/>
      <c r="U93" s="23"/>
      <c r="V93" s="3"/>
      <c r="W93" s="23"/>
      <c r="X93" s="29" t="str">
        <f t="shared" si="4"/>
        <v/>
      </c>
      <c r="Y93" s="30" t="str">
        <f t="shared" si="6"/>
        <v/>
      </c>
      <c r="Z93" s="3"/>
      <c r="AA93" s="3"/>
      <c r="AC93" s="31"/>
      <c r="AD93" s="28"/>
      <c r="AH93" s="28"/>
    </row>
    <row r="94" spans="2:34" s="25" customFormat="1" x14ac:dyDescent="0.2">
      <c r="B94" s="27" t="s">
        <v>12</v>
      </c>
      <c r="C94" s="13"/>
      <c r="D94" s="26" t="n">
        <f>IF(ISBLANK(D102),SUM(D52:D93),D102)</f>
        <v>1479.0</v>
      </c>
      <c r="E94" s="26" t="n">
        <f>IF(ISBLANK(E102),SUM(E52:E93),E102)</f>
        <v>433.0</v>
      </c>
      <c r="F94" s="26" t="n">
        <f>IF(ISBLANK(D102),SUM(F52:F93),F102)</f>
        <v>0.0</v>
      </c>
      <c r="G94" s="26" t="n">
        <f>IF(ISBLANK(G102),SUM(G52:G93),G102)</f>
        <v>24.0</v>
      </c>
      <c r="H94" s="48" t="n">
        <f>IF(ISBLANK(E102),IF(ISERROR(G94/E94),"",ROUND(G94,0)/ROUND(E94,0)),H102)</f>
        <v>0.05542725173210162</v>
      </c>
      <c r="I94" s="48" t="str">
        <f>IF(ISBLANK(D102),IF(ISERROR(AH94/F94),"",ROUND(AH94,0)/ROUND(F94,0)),I102)</f>
        <v/>
      </c>
      <c r="J94" s="55" t="n">
        <f>IF(ISBLANK(D102),SUM(J52:J93),J102)</f>
        <v>3.0</v>
      </c>
      <c r="K94" s="55" t="n">
        <f>IF(ISBLANK(D102),SUM(K52:K93),J102)</f>
        <v>3.0</v>
      </c>
      <c r="L94" s="1"/>
      <c r="M94" s="1"/>
      <c r="N94" s="1"/>
      <c r="O94" s="1"/>
      <c r="P94" s="1"/>
      <c r="Q94" s="27" t="s">
        <v>12</v>
      </c>
      <c r="R94" s="26"/>
      <c r="S94" s="26" t="n">
        <f>IF(ISBLANK(S102),SUM(S52:S93),S102)</f>
        <v>3302.0</v>
      </c>
      <c r="T94" s="26" t="n">
        <f>IF(ISBLANK(T102),SUM(T52:T93),T102)</f>
        <v>1393.0</v>
      </c>
      <c r="U94" s="26" t="n">
        <f>IF(ISBLANK(S102),SUM(U52:U93),U102)</f>
        <v>0.0</v>
      </c>
      <c r="V94" s="26" t="n">
        <f>IF(ISBLANK(V102),SUM(V52:V93),V102)</f>
        <v>0.0</v>
      </c>
      <c r="W94" s="26" t="n">
        <f>IF(ISBLANK(S102),SUM(W52:W93),W102)</f>
        <v>0.0</v>
      </c>
      <c r="X94" s="48" t="n">
        <f>IF(ISBLANK(V102),IF(ISERROR(V94/T94),"",ROUND(V94,0)/ROUND(T94,0)),X102)</f>
        <v>0.0</v>
      </c>
      <c r="Y94" s="48" t="str">
        <f>IF(ISBLANK(S102),IF(ISERROR(W94/U94),"",ROUND(W94,0)/ROUND(U94,0)),Y102)</f>
        <v/>
      </c>
      <c r="Z94" s="26" t="n">
        <f>IF(ISBLANK(S102),SUM(Z52:Z93),Z102)</f>
        <v>16.0</v>
      </c>
      <c r="AA94" s="56" t="n">
        <f>IF(ISBLANK(S102),SUM(AA52:AA93),AA102)</f>
        <v>74.0</v>
      </c>
      <c r="AC94" s="58" t="n">
        <f>IF(ISBLANK(AC102),SUM(AC52:AC93),AC102)</f>
        <v>0.0</v>
      </c>
      <c r="AD94" s="59" t="n">
        <f>IF(ISBLANK(#REF!),SUM(AD52:AD93),AD102)</f>
        <v>0.0</v>
      </c>
      <c r="AH94" s="59" t="n">
        <f>IF(ISBLANK(#REF!),SUM(AH52:AH93),AH102)</f>
        <v>0.0</v>
      </c>
    </row>
    <row r="95" spans="2:34" x14ac:dyDescent="0.2">
      <c r="J95" s="8"/>
      <c r="K95" s="8"/>
      <c r="S95" s="4"/>
    </row>
    <row r="96" spans="2:34" ht="15.75" customHeight="1" x14ac:dyDescent="0.2">
      <c r="B96" s="1" t="s">
        <v>15</v>
      </c>
      <c r="Q96" s="1" t="s">
        <v>15</v>
      </c>
    </row>
    <row r="97" spans="1:34" x14ac:dyDescent="0.2">
      <c r="B97" s="35" t="s">
        <v>49</v>
      </c>
      <c r="C97" s="36" t="s">
        <v>13</v>
      </c>
      <c r="D97" s="37" t="n">
        <v>1598.0</v>
      </c>
      <c r="E97" s="38" t="n">
        <v>659.0</v>
      </c>
      <c r="F97" s="44"/>
      <c r="G97" s="38" t="n">
        <v>44.0</v>
      </c>
      <c r="H97" s="39" t="n">
        <f>IF(ISERROR(G97/E97),"",ROUND(G97,0)/ROUND(E97,0))</f>
        <v>0.06676783004552352</v>
      </c>
      <c r="I97" s="51" t="str">
        <f>IF(ISERROR(AH97/F97),"",AH97/F97)</f>
        <v/>
      </c>
      <c r="J97" s="38" t="n">
        <v>3.0</v>
      </c>
      <c r="K97" s="38" t="n">
        <v>1.0</v>
      </c>
      <c r="Q97" s="35" t="s">
        <v>49</v>
      </c>
      <c r="R97" s="36" t="s">
        <v>12</v>
      </c>
      <c r="S97" s="37" t="n">
        <v>5947.0</v>
      </c>
      <c r="T97" s="38" t="n">
        <v>2671.0</v>
      </c>
      <c r="U97" s="44"/>
      <c r="V97" s="38" t="n">
        <v>0.0</v>
      </c>
      <c r="W97" s="44"/>
      <c r="X97" s="39" t="n">
        <f t="shared" ref="X97:Y102" si="7">IF(ISERROR(V97/T97),"",ROUND(V97,0)/ROUND(T97,0))</f>
        <v>0.0</v>
      </c>
      <c r="Y97" s="40" t="str">
        <f t="shared" si="7"/>
        <v/>
      </c>
      <c r="Z97" s="38" t="n">
        <v>22.0</v>
      </c>
      <c r="AA97" s="38" t="n">
        <v>124.0</v>
      </c>
      <c r="AC97" s="38"/>
      <c r="AD97" s="61"/>
      <c r="AH97" s="40"/>
    </row>
    <row r="98" spans="1:34" x14ac:dyDescent="0.2">
      <c r="B98" s="13" t="s">
        <v>50</v>
      </c>
      <c r="C98" s="20" t="s">
        <v>13</v>
      </c>
      <c r="D98" s="12" t="n">
        <v>903.0</v>
      </c>
      <c r="E98" s="3" t="n">
        <v>449.0</v>
      </c>
      <c r="F98" s="45"/>
      <c r="G98" s="3" t="n">
        <v>13.0</v>
      </c>
      <c r="H98" s="39" t="n">
        <f t="shared" ref="H98:H102" si="8">IF(ISERROR(G98/E98),"",ROUND(G98,0)/ROUND(E98,0))</f>
        <v>0.028953229398663696</v>
      </c>
      <c r="I98" s="51" t="str">
        <f t="shared" ref="I98:I102" si="9">IF(ISERROR(AH98/F98),"",AH98/F98)</f>
        <v/>
      </c>
      <c r="J98" s="3" t="n">
        <v>1.0</v>
      </c>
      <c r="K98" s="3" t="n">
        <v>1.0</v>
      </c>
      <c r="Q98" s="13" t="s">
        <v>50</v>
      </c>
      <c r="R98" s="20" t="s">
        <v>12</v>
      </c>
      <c r="S98" s="12" t="n">
        <v>3877.0</v>
      </c>
      <c r="T98" s="3" t="n">
        <v>1631.0</v>
      </c>
      <c r="U98" s="45"/>
      <c r="V98" s="3" t="n">
        <v>0.0</v>
      </c>
      <c r="W98" s="45"/>
      <c r="X98" s="39" t="n">
        <f t="shared" si="7"/>
        <v>0.0</v>
      </c>
      <c r="Y98" s="40" t="str">
        <f t="shared" si="7"/>
        <v/>
      </c>
      <c r="Z98" s="3" t="n">
        <v>10.0</v>
      </c>
      <c r="AA98" s="3" t="n">
        <v>71.0</v>
      </c>
      <c r="AC98" s="3"/>
      <c r="AD98" s="61"/>
      <c r="AH98" s="40"/>
    </row>
    <row r="99" spans="1:34" x14ac:dyDescent="0.2">
      <c r="B99" s="13" t="s">
        <v>51</v>
      </c>
      <c r="C99" s="20" t="s">
        <v>13</v>
      </c>
      <c r="D99" s="12" t="n">
        <v>1217.0</v>
      </c>
      <c r="E99" s="3" t="n">
        <v>681.0</v>
      </c>
      <c r="F99" s="45"/>
      <c r="G99" s="3" t="n">
        <v>22.0</v>
      </c>
      <c r="H99" s="39" t="n">
        <f t="shared" si="8"/>
        <v>0.032305433186490456</v>
      </c>
      <c r="I99" s="51" t="str">
        <f t="shared" si="9"/>
        <v/>
      </c>
      <c r="J99" s="3" t="n">
        <v>2.0</v>
      </c>
      <c r="K99" s="3" t="n">
        <v>0.0</v>
      </c>
      <c r="Q99" s="13" t="s">
        <v>51</v>
      </c>
      <c r="R99" s="20" t="s">
        <v>12</v>
      </c>
      <c r="S99" s="12" t="n">
        <v>4112.0</v>
      </c>
      <c r="T99" s="3" t="n">
        <v>1864.0</v>
      </c>
      <c r="U99" s="45"/>
      <c r="V99" s="3" t="n">
        <v>0.0</v>
      </c>
      <c r="W99" s="45"/>
      <c r="X99" s="39" t="n">
        <f t="shared" si="7"/>
        <v>0.0</v>
      </c>
      <c r="Y99" s="40" t="str">
        <f t="shared" si="7"/>
        <v/>
      </c>
      <c r="Z99" s="3" t="n">
        <v>14.0</v>
      </c>
      <c r="AA99" s="3" t="n">
        <v>104.0</v>
      </c>
      <c r="AC99" s="3"/>
      <c r="AD99" s="61"/>
      <c r="AH99" s="40"/>
    </row>
    <row r="100" spans="1:34" x14ac:dyDescent="0.2">
      <c r="B100" s="13" t="s">
        <v>52</v>
      </c>
      <c r="C100" s="20" t="s">
        <v>13</v>
      </c>
      <c r="D100" s="12" t="n">
        <v>1183.0</v>
      </c>
      <c r="E100" s="3" t="n">
        <v>659.0</v>
      </c>
      <c r="F100" s="45"/>
      <c r="G100" s="3" t="n">
        <v>20.0</v>
      </c>
      <c r="H100" s="39" t="n">
        <f t="shared" si="8"/>
        <v>0.030349013657056147</v>
      </c>
      <c r="I100" s="51" t="str">
        <f t="shared" si="9"/>
        <v/>
      </c>
      <c r="J100" s="3" t="n">
        <v>4.0</v>
      </c>
      <c r="K100" s="3" t="n">
        <v>0.0</v>
      </c>
      <c r="Q100" s="13" t="s">
        <v>52</v>
      </c>
      <c r="R100" s="20" t="s">
        <v>12</v>
      </c>
      <c r="S100" s="12" t="n">
        <v>4219.0</v>
      </c>
      <c r="T100" s="3" t="n">
        <v>1828.0</v>
      </c>
      <c r="U100" s="45"/>
      <c r="V100" s="3" t="n">
        <v>0.0</v>
      </c>
      <c r="W100" s="45"/>
      <c r="X100" s="39" t="n">
        <f t="shared" si="7"/>
        <v>0.0</v>
      </c>
      <c r="Y100" s="40" t="str">
        <f t="shared" si="7"/>
        <v/>
      </c>
      <c r="Z100" s="3" t="n">
        <v>13.0</v>
      </c>
      <c r="AA100" s="3" t="n">
        <v>136.0</v>
      </c>
      <c r="AC100" s="3"/>
      <c r="AD100" s="61"/>
      <c r="AH100" s="40"/>
    </row>
    <row r="101" spans="1:34" x14ac:dyDescent="0.2">
      <c r="B101" s="13" t="s">
        <v>53</v>
      </c>
      <c r="C101" s="20" t="s">
        <v>13</v>
      </c>
      <c r="D101" s="12" t="n">
        <v>1408.0</v>
      </c>
      <c r="E101" s="3" t="n">
        <v>585.0</v>
      </c>
      <c r="F101" s="45"/>
      <c r="G101" s="3" t="n">
        <v>35.0</v>
      </c>
      <c r="H101" s="39" t="n">
        <f t="shared" si="8"/>
        <v>0.05982905982905983</v>
      </c>
      <c r="I101" s="51" t="str">
        <f t="shared" si="9"/>
        <v/>
      </c>
      <c r="J101" s="3" t="n">
        <v>2.0</v>
      </c>
      <c r="K101" s="3" t="n">
        <v>1.0</v>
      </c>
      <c r="Q101" s="13" t="s">
        <v>53</v>
      </c>
      <c r="R101" s="20" t="s">
        <v>12</v>
      </c>
      <c r="S101" s="12" t="n">
        <v>5179.0</v>
      </c>
      <c r="T101" s="3" t="n">
        <v>2266.0</v>
      </c>
      <c r="U101" s="45"/>
      <c r="V101" s="3" t="n">
        <v>0.0</v>
      </c>
      <c r="W101" s="45"/>
      <c r="X101" s="39" t="n">
        <f t="shared" si="7"/>
        <v>0.0</v>
      </c>
      <c r="Y101" s="40" t="str">
        <f t="shared" si="7"/>
        <v/>
      </c>
      <c r="Z101" s="3" t="n">
        <v>21.0</v>
      </c>
      <c r="AA101" s="3" t="n">
        <v>124.0</v>
      </c>
      <c r="AC101" s="3"/>
      <c r="AD101" s="61"/>
      <c r="AH101" s="40"/>
    </row>
    <row r="102" spans="1:34" x14ac:dyDescent="0.2">
      <c r="B102" s="41" t="s">
        <v>54</v>
      </c>
      <c r="C102" s="20" t="s">
        <v>13</v>
      </c>
      <c r="D102" s="42" t="n">
        <v>1479.0</v>
      </c>
      <c r="E102" s="43" t="n">
        <v>433.0</v>
      </c>
      <c r="F102" s="46"/>
      <c r="G102" s="43" t="n">
        <v>24.0</v>
      </c>
      <c r="H102" s="39" t="n">
        <f t="shared" si="8"/>
        <v>0.05542725173210162</v>
      </c>
      <c r="I102" s="51" t="str">
        <f t="shared" si="9"/>
        <v/>
      </c>
      <c r="J102" s="43" t="n">
        <v>3.0</v>
      </c>
      <c r="K102" s="43" t="n">
        <v>3.0</v>
      </c>
      <c r="Q102" s="41" t="s">
        <v>54</v>
      </c>
      <c r="R102" s="20" t="s">
        <v>12</v>
      </c>
      <c r="S102" s="42" t="n">
        <v>3302.0</v>
      </c>
      <c r="T102" s="43" t="n">
        <v>1393.0</v>
      </c>
      <c r="U102" s="46"/>
      <c r="V102" s="43" t="n">
        <v>0.0</v>
      </c>
      <c r="W102" s="46"/>
      <c r="X102" s="39" t="n">
        <f t="shared" si="7"/>
        <v>0.0</v>
      </c>
      <c r="Y102" s="40" t="str">
        <f t="shared" si="7"/>
        <v/>
      </c>
      <c r="Z102" s="43" t="n">
        <v>16.0</v>
      </c>
      <c r="AA102" s="43" t="n">
        <v>74.0</v>
      </c>
      <c r="AC102" s="43"/>
      <c r="AD102" s="47"/>
      <c r="AH102" s="49"/>
    </row>
    <row r="103" spans="1:34" x14ac:dyDescent="0.2">
      <c r="N103" s="8"/>
      <c r="O103" s="8"/>
    </row>
    <row r="104" spans="1:34" x14ac:dyDescent="0.2">
      <c r="J104" s="1" t="s">
        <v>10</v>
      </c>
      <c r="W104" s="1" t="s">
        <v>10</v>
      </c>
    </row>
    <row r="105" spans="1:34" ht="11.5" thickBo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</row>
    <row r="106" spans="1:34" ht="11.5" thickTop="1" x14ac:dyDescent="0.2">
      <c r="A106" s="6"/>
      <c r="B106" s="17"/>
      <c r="C106" s="17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3"/>
      <c r="R106" s="53"/>
    </row>
    <row r="107" spans="1:34" x14ac:dyDescent="0.2">
      <c r="Q107" s="8"/>
      <c r="S107" s="50" t="s">
        <v>28</v>
      </c>
    </row>
    <row r="108" spans="1:34" x14ac:dyDescent="0.2">
      <c r="S108" s="50" t="s">
        <v>29</v>
      </c>
    </row>
    <row r="109" spans="1:34" x14ac:dyDescent="0.2">
      <c r="S109" s="50" t="s">
        <v>30</v>
      </c>
    </row>
  </sheetData>
  <mergeCells count="22">
    <mergeCell ref="D50:K50"/>
    <mergeCell ref="Z4:AA4"/>
    <mergeCell ref="AC50:AD50"/>
    <mergeCell ref="A5:B5"/>
    <mergeCell ref="A4:B4"/>
    <mergeCell ref="Q50:AA50"/>
    <mergeCell ref="C4:G4"/>
    <mergeCell ref="M5:N5"/>
    <mergeCell ref="C5:G5"/>
    <mergeCell ref="B8:N9"/>
    <mergeCell ref="H5:I5"/>
    <mergeCell ref="J5:L5"/>
    <mergeCell ref="H4:I4"/>
    <mergeCell ref="J4:L4"/>
    <mergeCell ref="M4:N4"/>
    <mergeCell ref="Q8:AA9"/>
    <mergeCell ref="X4:Y4"/>
    <mergeCell ref="O5:R5"/>
    <mergeCell ref="S4:S5"/>
    <mergeCell ref="T4:W4"/>
    <mergeCell ref="T5:W5"/>
    <mergeCell ref="O4:R4"/>
  </mergeCells>
  <phoneticPr fontId="2"/>
  <printOptions horizontalCentered="1" verticalCentered="1"/>
  <pageMargins left="0.15748031496062992" right="0.15748031496062992" top="0.31496062992125984" bottom="0.27559055118110237" header="0.27559055118110237" footer="0.19685039370078741"/>
  <pageSetup paperSize="8"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日次クライアントレポート</vt:lpstr>
      <vt:lpstr>日次クライアントレポート!Print_Area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1997-01-08T22:48:59Z</dcterms:created>
  <dc:creator>林 裕大</dc:creator>
  <lastModifiedBy>齊藤 巧</lastModifiedBy>
  <lastPrinted>1997-01-08T22:48:59Z</lastPrinted>
  <dcterms:modified xsi:type="dcterms:W3CDTF">2025-10-13T03:31:15Z</dcterms:modified>
</coreProperties>
</file>