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>
    <mc:Choice Requires="x15">
      <x15ac:absPath xmlns:x15ac="http://schemas.microsoft.com/office/spreadsheetml/2010/11/ac" url="C:\var\dev\ws_dev\HPG-dev-local-configure\webapp_contents\hthome\hpj\DEV\DEV_OPEN\CLP\excel\"/>
    </mc:Choice>
  </mc:AlternateContent>
  <xr:revisionPtr revIDLastSave="0" documentId="13_ncr:1_{0D19A38C-CC0C-4A7F-8827-39117B5335C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01＿集客・アクセスレポート" sheetId="1" r:id="rId1"/>
  </sheets>
  <definedNames>
    <definedName name="_xlnm.Print_Area" localSheetId="0">'01＿集客・アクセスレポート'!$A$1:$AI$70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46" i="1" l="1"/>
  <c r="AG46" i="1"/>
  <c r="AF46" i="1"/>
  <c r="AE46" i="1"/>
  <c r="AD46" i="1"/>
  <c r="AC46" i="1"/>
  <c r="AB46" i="1"/>
  <c r="AA46" i="1"/>
  <c r="Z46" i="1"/>
  <c r="Y46" i="1"/>
  <c r="X46" i="1"/>
  <c r="W46" i="1"/>
  <c r="V46" i="1"/>
  <c r="AH52" i="1" l="1"/>
  <c r="AG52" i="1"/>
  <c r="AF52" i="1"/>
  <c r="AE52" i="1"/>
  <c r="AD52" i="1"/>
  <c r="AC52" i="1"/>
  <c r="AB52" i="1"/>
  <c r="AA52" i="1"/>
  <c r="Z52" i="1"/>
  <c r="Y52" i="1"/>
  <c r="X52" i="1"/>
  <c r="W52" i="1"/>
  <c r="V52" i="1"/>
  <c r="Q73" i="1" l="1"/>
  <c r="P73" i="1"/>
  <c r="O73" i="1"/>
  <c r="N73" i="1"/>
  <c r="M73" i="1"/>
  <c r="L73" i="1"/>
  <c r="K73" i="1"/>
  <c r="J73" i="1"/>
  <c r="I73" i="1"/>
  <c r="H73" i="1"/>
  <c r="G73" i="1"/>
  <c r="F73" i="1"/>
  <c r="E73" i="1"/>
  <c r="E72" i="1"/>
  <c r="E74" i="1" s="1"/>
  <c r="F72" i="1"/>
  <c r="G72" i="1" s="1"/>
  <c r="H72" i="1" l="1"/>
  <c r="G74" i="1"/>
  <c r="F74" i="1"/>
  <c r="I72" i="1" l="1"/>
  <c r="H74" i="1"/>
  <c r="I74" i="1" l="1"/>
  <c r="J72" i="1"/>
  <c r="K72" i="1" l="1"/>
  <c r="J74" i="1"/>
  <c r="L72" i="1" l="1"/>
  <c r="K74" i="1"/>
  <c r="M72" i="1" l="1"/>
  <c r="L74" i="1"/>
  <c r="N72" i="1" l="1"/>
  <c r="M74" i="1"/>
  <c r="O72" i="1" l="1"/>
  <c r="N74" i="1"/>
  <c r="O74" i="1" l="1"/>
  <c r="P72" i="1"/>
  <c r="P74" i="1" l="1"/>
  <c r="Q72" i="1"/>
  <c r="Q74" i="1" s="1"/>
</calcChain>
</file>

<file path=xl/sharedStrings.xml><?xml version="1.0" encoding="utf-8"?>
<sst xmlns="http://schemas.openxmlformats.org/spreadsheetml/2006/main" count="190" uniqueCount="97">
  <si>
    <t>貴店名</t>
    <rPh sb="0" eb="2">
      <t>キテン</t>
    </rPh>
    <rPh sb="2" eb="3">
      <t>メイ</t>
    </rPh>
    <phoneticPr fontId="1"/>
  </si>
  <si>
    <t>ご掲載エリア</t>
    <rPh sb="1" eb="3">
      <t>ケイサイ</t>
    </rPh>
    <phoneticPr fontId="1"/>
  </si>
  <si>
    <t>総席数</t>
    <rPh sb="0" eb="1">
      <t>ソウ</t>
    </rPh>
    <rPh sb="1" eb="3">
      <t>セキスウ</t>
    </rPh>
    <phoneticPr fontId="1"/>
  </si>
  <si>
    <t>ご掲載プラン</t>
    <rPh sb="1" eb="3">
      <t>ケイサイ</t>
    </rPh>
    <phoneticPr fontId="1"/>
  </si>
  <si>
    <t>ご掲載CD</t>
    <rPh sb="1" eb="3">
      <t>ケイサイ</t>
    </rPh>
    <phoneticPr fontId="1"/>
  </si>
  <si>
    <t>弊社担当</t>
    <rPh sb="0" eb="2">
      <t>ヘイシャ</t>
    </rPh>
    <rPh sb="2" eb="4">
      <t>タントウ</t>
    </rPh>
    <phoneticPr fontId="1"/>
  </si>
  <si>
    <t>発行年</t>
    <rPh sb="0" eb="2">
      <t>ハッコウ</t>
    </rPh>
    <rPh sb="2" eb="3">
      <t>ネン</t>
    </rPh>
    <phoneticPr fontId="3"/>
  </si>
  <si>
    <t>発行月</t>
    <rPh sb="0" eb="2">
      <t>ハッコウ</t>
    </rPh>
    <rPh sb="2" eb="3">
      <t>ツキ</t>
    </rPh>
    <phoneticPr fontId="3"/>
  </si>
  <si>
    <t>クーポン枚数</t>
    <rPh sb="4" eb="6">
      <t>マイスウ</t>
    </rPh>
    <phoneticPr fontId="4"/>
  </si>
  <si>
    <t>集客人数</t>
    <rPh sb="0" eb="2">
      <t>シュウキャク</t>
    </rPh>
    <rPh sb="2" eb="4">
      <t>ニンズウ</t>
    </rPh>
    <phoneticPr fontId="4"/>
  </si>
  <si>
    <t>組人数</t>
    <rPh sb="0" eb="1">
      <t>クミ</t>
    </rPh>
    <rPh sb="1" eb="2">
      <t>ニン</t>
    </rPh>
    <rPh sb="2" eb="3">
      <t>スウ</t>
    </rPh>
    <phoneticPr fontId="5"/>
  </si>
  <si>
    <t>■貴店　サイトアクセス状況</t>
    <rPh sb="1" eb="3">
      <t>キテン</t>
    </rPh>
    <rPh sb="11" eb="13">
      <t>ジョウキョウ</t>
    </rPh>
    <phoneticPr fontId="1"/>
  </si>
  <si>
    <t>掲載月号</t>
    <rPh sb="0" eb="2">
      <t>ケイサイ</t>
    </rPh>
    <rPh sb="2" eb="4">
      <t>ガツゴウ</t>
    </rPh>
    <phoneticPr fontId="1"/>
  </si>
  <si>
    <t>■貴店　サイト利用状況</t>
    <rPh sb="1" eb="3">
      <t>キテン</t>
    </rPh>
    <rPh sb="7" eb="9">
      <t>リヨウ</t>
    </rPh>
    <rPh sb="9" eb="11">
      <t>ジョウキョウ</t>
    </rPh>
    <phoneticPr fontId="1"/>
  </si>
  <si>
    <t>クーポン２</t>
  </si>
  <si>
    <t>クーポン３</t>
  </si>
  <si>
    <t>クーポン４</t>
  </si>
  <si>
    <t>クーポン５</t>
  </si>
  <si>
    <t>プラン</t>
    <phoneticPr fontId="5"/>
  </si>
  <si>
    <t>PC</t>
    <phoneticPr fontId="1"/>
  </si>
  <si>
    <t>SSP</t>
    <phoneticPr fontId="4"/>
  </si>
  <si>
    <t>SS</t>
    <phoneticPr fontId="4"/>
  </si>
  <si>
    <t>A</t>
    <phoneticPr fontId="4"/>
  </si>
  <si>
    <t>B</t>
    <phoneticPr fontId="5"/>
  </si>
  <si>
    <t>HP</t>
    <phoneticPr fontId="1"/>
  </si>
  <si>
    <t>■貴店　クーポン設定状況</t>
    <rPh sb="1" eb="3">
      <t>キテン</t>
    </rPh>
    <rPh sb="8" eb="10">
      <t>セッテイ</t>
    </rPh>
    <rPh sb="10" eb="12">
      <t>ジョウキョウ</t>
    </rPh>
    <phoneticPr fontId="1"/>
  </si>
  <si>
    <t>クチコミ投稿数（累計）</t>
    <rPh sb="4" eb="6">
      <t>トウコウ</t>
    </rPh>
    <rPh sb="6" eb="7">
      <t>スウ</t>
    </rPh>
    <phoneticPr fontId="1"/>
  </si>
  <si>
    <t>クチコミ投稿数（今月の投稿数）</t>
    <rPh sb="4" eb="6">
      <t>トウコウ</t>
    </rPh>
    <rPh sb="6" eb="7">
      <t>スウ</t>
    </rPh>
    <rPh sb="8" eb="10">
      <t>コンゲツ</t>
    </rPh>
    <rPh sb="11" eb="14">
      <t>トウコウスウ</t>
    </rPh>
    <phoneticPr fontId="1"/>
  </si>
  <si>
    <r>
      <t>CVR　</t>
    </r>
    <r>
      <rPr>
        <sz val="6"/>
        <rFont val="Arial Unicode MS"/>
        <family val="3"/>
        <charset val="128"/>
      </rPr>
      <t>同エリア・同ジャンル平均</t>
    </r>
    <rPh sb="4" eb="5">
      <t>ドウ</t>
    </rPh>
    <rPh sb="9" eb="10">
      <t>ドウ</t>
    </rPh>
    <rPh sb="14" eb="16">
      <t>ヘイキン</t>
    </rPh>
    <phoneticPr fontId="5"/>
  </si>
  <si>
    <t>本誌QR利用数</t>
    <rPh sb="0" eb="2">
      <t>ホンシ</t>
    </rPh>
    <rPh sb="6" eb="7">
      <t>スウ</t>
    </rPh>
    <phoneticPr fontId="1"/>
  </si>
  <si>
    <t>※店舗TOP　PV　中エリア×ジャンル平均</t>
    <rPh sb="1" eb="3">
      <t>テンポ</t>
    </rPh>
    <rPh sb="10" eb="11">
      <t>チュウ</t>
    </rPh>
    <rPh sb="19" eb="21">
      <t>ヘイキン</t>
    </rPh>
    <phoneticPr fontId="1"/>
  </si>
  <si>
    <t>売上</t>
    <rPh sb="0" eb="2">
      <t>ウリアゲ</t>
    </rPh>
    <phoneticPr fontId="5"/>
  </si>
  <si>
    <t>※同中エリア×同ジャンル平均</t>
    <rPh sb="1" eb="2">
      <t>ドウ</t>
    </rPh>
    <rPh sb="2" eb="3">
      <t>チュウ</t>
    </rPh>
    <rPh sb="7" eb="8">
      <t>ドウ</t>
    </rPh>
    <rPh sb="12" eb="14">
      <t>ヘイキン</t>
    </rPh>
    <phoneticPr fontId="1"/>
  </si>
  <si>
    <t>CVR（クーポン/店舗TOP）</t>
    <rPh sb="9" eb="11">
      <t>テンポ</t>
    </rPh>
    <phoneticPr fontId="5"/>
  </si>
  <si>
    <t>CVR1（地図クーポン/店舗TOP）</t>
    <rPh sb="5" eb="7">
      <t>チズ</t>
    </rPh>
    <rPh sb="12" eb="14">
      <t>テンポ</t>
    </rPh>
    <phoneticPr fontId="5"/>
  </si>
  <si>
    <r>
      <t>CVR1</t>
    </r>
    <r>
      <rPr>
        <sz val="6"/>
        <rFont val="Arial Unicode MS"/>
        <family val="3"/>
        <charset val="128"/>
      </rPr>
      <t>　同エリア・同ジャンル平均</t>
    </r>
    <rPh sb="5" eb="6">
      <t>ドウ</t>
    </rPh>
    <rPh sb="10" eb="11">
      <t>ドウ</t>
    </rPh>
    <rPh sb="15" eb="17">
      <t>ヘイキン</t>
    </rPh>
    <phoneticPr fontId="5"/>
  </si>
  <si>
    <r>
      <t>PC
PV</t>
    </r>
    <r>
      <rPr>
        <sz val="6"/>
        <color indexed="9"/>
        <rFont val="Arial Unicode MS"/>
        <family val="3"/>
        <charset val="128"/>
      </rPr>
      <t xml:space="preserve">
(UA</t>
    </r>
    <r>
      <rPr>
        <vertAlign val="superscript"/>
        <sz val="6"/>
        <color indexed="9"/>
        <rFont val="Arial Unicode MS"/>
        <family val="3"/>
        <charset val="128"/>
      </rPr>
      <t>※</t>
    </r>
    <r>
      <rPr>
        <sz val="6"/>
        <color indexed="9"/>
        <rFont val="Arial Unicode MS"/>
        <family val="3"/>
        <charset val="128"/>
      </rPr>
      <t>)</t>
    </r>
    <phoneticPr fontId="1"/>
  </si>
  <si>
    <t>地図クーポンページ</t>
    <rPh sb="0" eb="2">
      <t>チズ</t>
    </rPh>
    <phoneticPr fontId="5"/>
  </si>
  <si>
    <r>
      <t>店舗TOPページ</t>
    </r>
    <r>
      <rPr>
        <sz val="6"/>
        <color indexed="9"/>
        <rFont val="Arial Unicode MS"/>
        <family val="3"/>
        <charset val="128"/>
      </rPr>
      <t xml:space="preserve">  </t>
    </r>
    <r>
      <rPr>
        <sz val="9"/>
        <color indexed="9"/>
        <rFont val="Arial Unicode MS"/>
        <family val="3"/>
        <charset val="128"/>
      </rPr>
      <t>エリアランキング</t>
    </r>
    <phoneticPr fontId="1"/>
  </si>
  <si>
    <t>店舗TOPページ</t>
    <rPh sb="0" eb="2">
      <t>テンポ</t>
    </rPh>
    <phoneticPr fontId="5"/>
  </si>
  <si>
    <t>店舗ページ　合計</t>
    <rPh sb="0" eb="2">
      <t>テンポ</t>
    </rPh>
    <rPh sb="6" eb="8">
      <t>ゴウケイ</t>
    </rPh>
    <phoneticPr fontId="5"/>
  </si>
  <si>
    <r>
      <t>店舗TOPページ</t>
    </r>
    <r>
      <rPr>
        <sz val="6"/>
        <color indexed="9"/>
        <rFont val="Arial Unicode MS"/>
        <family val="3"/>
        <charset val="128"/>
      </rPr>
      <t xml:space="preserve"> </t>
    </r>
    <r>
      <rPr>
        <sz val="9"/>
        <color indexed="9"/>
        <rFont val="Arial Unicode MS"/>
        <family val="3"/>
        <charset val="128"/>
      </rPr>
      <t>エリアランキング</t>
    </r>
    <phoneticPr fontId="1"/>
  </si>
  <si>
    <t>クーポンページ</t>
    <phoneticPr fontId="5"/>
  </si>
  <si>
    <t>クチコミ/
お気に入り</t>
    <rPh sb="7" eb="8">
      <t>キ</t>
    </rPh>
    <rPh sb="9" eb="10">
      <t>イ</t>
    </rPh>
    <phoneticPr fontId="1"/>
  </si>
  <si>
    <t>エリア限定
HPC</t>
    <rPh sb="3" eb="5">
      <t>ゲンテイ</t>
    </rPh>
    <phoneticPr fontId="1"/>
  </si>
  <si>
    <t>想定組数</t>
    <rPh sb="0" eb="2">
      <t>ソウテイ</t>
    </rPh>
    <rPh sb="2" eb="4">
      <t>クミスウ</t>
    </rPh>
    <phoneticPr fontId="1"/>
  </si>
  <si>
    <r>
      <t>SP
PV</t>
    </r>
    <r>
      <rPr>
        <sz val="6"/>
        <color indexed="9"/>
        <rFont val="Arial Unicode MS"/>
        <family val="3"/>
        <charset val="128"/>
      </rPr>
      <t xml:space="preserve">
(UA</t>
    </r>
    <r>
      <rPr>
        <vertAlign val="superscript"/>
        <sz val="6"/>
        <color indexed="9"/>
        <rFont val="Arial Unicode MS"/>
        <family val="3"/>
        <charset val="128"/>
      </rPr>
      <t>※</t>
    </r>
    <r>
      <rPr>
        <sz val="6"/>
        <color indexed="9"/>
        <rFont val="Arial Unicode MS"/>
        <family val="3"/>
        <charset val="128"/>
      </rPr>
      <t>)</t>
    </r>
    <phoneticPr fontId="1"/>
  </si>
  <si>
    <t>SP</t>
    <phoneticPr fontId="1"/>
  </si>
  <si>
    <t>合算</t>
    <rPh sb="0" eb="2">
      <t>ガッサン</t>
    </rPh>
    <phoneticPr fontId="1"/>
  </si>
  <si>
    <t>クーポン６</t>
    <phoneticPr fontId="1"/>
  </si>
  <si>
    <t>BPP</t>
    <phoneticPr fontId="1"/>
  </si>
  <si>
    <r>
      <t>ホットペッパーコール</t>
    </r>
    <r>
      <rPr>
        <sz val="6"/>
        <color theme="0"/>
        <rFont val="Arial Unicode MS"/>
        <family val="3"/>
        <charset val="128"/>
      </rPr>
      <t>（</t>
    </r>
    <r>
      <rPr>
        <sz val="6"/>
        <color indexed="9"/>
        <rFont val="Arial Unicode MS"/>
        <family val="3"/>
        <charset val="128"/>
      </rPr>
      <t>エリア平均）</t>
    </r>
    <rPh sb="14" eb="16">
      <t>ヘイキン</t>
    </rPh>
    <phoneticPr fontId="1"/>
  </si>
  <si>
    <r>
      <t>ホットペッパーコール</t>
    </r>
    <r>
      <rPr>
        <sz val="6"/>
        <color theme="0"/>
        <rFont val="Arial Unicode MS"/>
        <family val="3"/>
        <charset val="128"/>
      </rPr>
      <t>（</t>
    </r>
    <r>
      <rPr>
        <sz val="6"/>
        <color indexed="9"/>
        <rFont val="Arial Unicode MS"/>
        <family val="3"/>
        <charset val="128"/>
      </rPr>
      <t>貴店）</t>
    </r>
    <rPh sb="11" eb="13">
      <t>キテン</t>
    </rPh>
    <phoneticPr fontId="1"/>
  </si>
  <si>
    <t>PCから携帯への転送数（QR）</t>
    <phoneticPr fontId="1"/>
  </si>
  <si>
    <t>PCから携帯への転送数（メール）</t>
    <rPh sb="8" eb="10">
      <t>テンソウ</t>
    </rPh>
    <rPh sb="10" eb="11">
      <t>スウ</t>
    </rPh>
    <phoneticPr fontId="1"/>
  </si>
  <si>
    <t>予約ページPV</t>
    <phoneticPr fontId="1"/>
  </si>
  <si>
    <t>予約人数</t>
    <rPh sb="0" eb="2">
      <t>ヨヤク</t>
    </rPh>
    <rPh sb="2" eb="4">
      <t>ニンズウ</t>
    </rPh>
    <phoneticPr fontId="1"/>
  </si>
  <si>
    <t>「お気に入りのお店」登録数</t>
    <rPh sb="10" eb="12">
      <t>トウロク</t>
    </rPh>
    <rPh sb="12" eb="13">
      <t>スウ</t>
    </rPh>
    <phoneticPr fontId="1"/>
  </si>
  <si>
    <t>クロスメディア</t>
    <phoneticPr fontId="1"/>
  </si>
  <si>
    <t>クーポン１</t>
    <phoneticPr fontId="1"/>
  </si>
  <si>
    <t>ジャンル</t>
    <phoneticPr fontId="1"/>
  </si>
  <si>
    <r>
      <rPr>
        <b/>
        <sz val="10"/>
        <color theme="1" tint="0.499984740745262"/>
        <rFont val="ＭＳ Ｐゴシック"/>
        <family val="3"/>
        <charset val="128"/>
        <scheme val="minor"/>
      </rPr>
      <t>PC 店舗TOPページ　PV</t>
    </r>
    <r>
      <rPr>
        <b/>
        <sz val="6"/>
        <color indexed="23"/>
        <rFont val="ＭＳ Ｐゴシック"/>
        <family val="3"/>
        <charset val="128"/>
      </rPr>
      <t>（UA</t>
    </r>
    <r>
      <rPr>
        <b/>
        <vertAlign val="superscript"/>
        <sz val="6"/>
        <color indexed="23"/>
        <rFont val="ＭＳ Ｐゴシック"/>
        <family val="3"/>
        <charset val="128"/>
      </rPr>
      <t>※</t>
    </r>
    <r>
      <rPr>
        <b/>
        <sz val="6"/>
        <color indexed="23"/>
        <rFont val="ＭＳ Ｐゴシック"/>
        <family val="3"/>
        <charset val="128"/>
      </rPr>
      <t>）</t>
    </r>
    <rPh sb="3" eb="5">
      <t>テンポ</t>
    </rPh>
    <phoneticPr fontId="1"/>
  </si>
  <si>
    <r>
      <rPr>
        <b/>
        <sz val="10"/>
        <color theme="1" tint="0.499984740745262"/>
        <rFont val="ＭＳ Ｐゴシック"/>
        <family val="3"/>
        <charset val="128"/>
        <scheme val="minor"/>
      </rPr>
      <t>SP 店舗TOPページ　PV</t>
    </r>
    <r>
      <rPr>
        <b/>
        <sz val="6"/>
        <color indexed="23"/>
        <rFont val="ＭＳ Ｐゴシック"/>
        <family val="3"/>
        <charset val="128"/>
      </rPr>
      <t>（UA</t>
    </r>
    <r>
      <rPr>
        <b/>
        <vertAlign val="superscript"/>
        <sz val="6"/>
        <color indexed="23"/>
        <rFont val="ＭＳ Ｐゴシック"/>
        <family val="3"/>
        <charset val="128"/>
      </rPr>
      <t>※</t>
    </r>
    <r>
      <rPr>
        <b/>
        <sz val="6"/>
        <color indexed="23"/>
        <rFont val="ＭＳ Ｐゴシック"/>
        <family val="3"/>
        <charset val="128"/>
      </rPr>
      <t>）</t>
    </r>
    <rPh sb="3" eb="5">
      <t>テンポ</t>
    </rPh>
    <phoneticPr fontId="1"/>
  </si>
  <si>
    <t>予約ページPV</t>
  </si>
  <si>
    <t>ネット予約
（リク+即）</t>
    <rPh sb="3" eb="5">
      <t>ヨヤク</t>
    </rPh>
    <rPh sb="10" eb="11">
      <t>ソク</t>
    </rPh>
    <phoneticPr fontId="1"/>
  </si>
  <si>
    <t>リクエスト予約</t>
    <rPh sb="5" eb="7">
      <t>ヨヤク</t>
    </rPh>
    <phoneticPr fontId="1"/>
  </si>
  <si>
    <t>即予約</t>
    <rPh sb="0" eb="1">
      <t>ソク</t>
    </rPh>
    <rPh sb="1" eb="3">
      <t>ヨヤク</t>
    </rPh>
    <phoneticPr fontId="1"/>
  </si>
  <si>
    <t>予約件数</t>
    <phoneticPr fontId="1"/>
  </si>
  <si>
    <t>予約件数</t>
    <phoneticPr fontId="1"/>
  </si>
  <si>
    <r>
      <t>ホットペッパーコール不成立</t>
    </r>
    <r>
      <rPr>
        <sz val="6"/>
        <color theme="0"/>
        <rFont val="Arial Unicode MS"/>
        <family val="3"/>
        <charset val="128"/>
      </rPr>
      <t>（</t>
    </r>
    <r>
      <rPr>
        <sz val="6"/>
        <color indexed="9"/>
        <rFont val="Arial Unicode MS"/>
        <family val="3"/>
        <charset val="128"/>
      </rPr>
      <t>貴店）</t>
    </r>
    <rPh sb="10" eb="13">
      <t>フセイリツ</t>
    </rPh>
    <rPh sb="14" eb="16">
      <t>キテン</t>
    </rPh>
    <phoneticPr fontId="1"/>
  </si>
  <si>
    <t>電話ページ</t>
    <phoneticPr fontId="1"/>
  </si>
  <si>
    <t>電話ページ　PV(UA※)（PC）</t>
    <rPh sb="0" eb="2">
      <t>デンワ</t>
    </rPh>
    <phoneticPr fontId="1"/>
  </si>
  <si>
    <t>電話ページ　PV(UA※)（SP）</t>
    <phoneticPr fontId="1"/>
  </si>
  <si>
    <t>韓国屋台ポックンパ　ネネチキン　東岡崎店</t>
  </si>
  <si>
    <t>岡崎</t>
  </si>
  <si>
    <t>H000550388</t>
  </si>
  <si>
    <t>SSプレミアムプラン</t>
  </si>
  <si>
    <t>居酒屋</t>
  </si>
  <si>
    <t>40</t>
  </si>
  <si>
    <t>飲食　名古屋飲食Ｇ</t>
  </si>
  <si>
    <t>澤里　わかな</t>
  </si>
  <si>
    <t>2607月号</t>
  </si>
  <si>
    <t>2025年</t>
  </si>
  <si>
    <t>2026年</t>
  </si>
  <si>
    <t>07月号</t>
  </si>
  <si>
    <t>08月号</t>
  </si>
  <si>
    <t>09月号</t>
  </si>
  <si>
    <t>10月号</t>
  </si>
  <si>
    <t>11月号</t>
  </si>
  <si>
    <t>12月号</t>
  </si>
  <si>
    <t>01月号</t>
  </si>
  <si>
    <t>02月号</t>
  </si>
  <si>
    <t>03月号</t>
  </si>
  <si>
    <t>04月号</t>
  </si>
  <si>
    <t>05月号</t>
  </si>
  <si>
    <t>06月号</t>
  </si>
  <si>
    <t>Aプラン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</si>
</sst>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 "/>
  </numFmts>
  <fonts count="3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6"/>
      <name val="ＭＳ Ｐゴシック"/>
      <family val="3"/>
      <charset val="128"/>
    </font>
    <font>
      <sz val="8"/>
      <name val="ＭＳ Ｐゴシック"/>
      <family val="3"/>
      <charset val="128"/>
    </font>
    <font>
      <sz val="9"/>
      <name val="Arial Unicode MS"/>
      <family val="3"/>
      <charset val="128"/>
    </font>
    <font>
      <sz val="6"/>
      <name val="Arial Unicode MS"/>
      <family val="3"/>
      <charset val="128"/>
    </font>
    <font>
      <sz val="9"/>
      <color indexed="9"/>
      <name val="Arial Unicode MS"/>
      <family val="3"/>
      <charset val="128"/>
    </font>
    <font>
      <b/>
      <sz val="6"/>
      <color indexed="23"/>
      <name val="ＭＳ Ｐゴシック"/>
      <family val="3"/>
      <charset val="128"/>
    </font>
    <font>
      <b/>
      <vertAlign val="superscript"/>
      <sz val="6"/>
      <color indexed="23"/>
      <name val="ＭＳ Ｐゴシック"/>
      <family val="3"/>
      <charset val="128"/>
    </font>
    <font>
      <sz val="6"/>
      <color indexed="9"/>
      <name val="Arial Unicode MS"/>
      <family val="3"/>
      <charset val="128"/>
    </font>
    <font>
      <vertAlign val="superscript"/>
      <sz val="6"/>
      <color indexed="9"/>
      <name val="Arial Unicode MS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color theme="1" tint="0.499984740745262"/>
      <name val="ＭＳ Ｐゴシック"/>
      <family val="3"/>
      <charset val="128"/>
      <scheme val="minor"/>
    </font>
    <font>
      <b/>
      <sz val="9"/>
      <color theme="1" tint="0.499984740745262"/>
      <name val="ＭＳ Ｐゴシック"/>
      <family val="3"/>
      <charset val="128"/>
      <scheme val="minor"/>
    </font>
    <font>
      <b/>
      <sz val="11"/>
      <color theme="0"/>
      <name val="ＭＳ Ｐゴシック"/>
      <family val="3"/>
      <charset val="128"/>
      <scheme val="minor"/>
    </font>
    <font>
      <sz val="9"/>
      <color theme="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sz val="9"/>
      <color theme="1"/>
      <name val="Arial Unicode MS"/>
      <family val="3"/>
      <charset val="128"/>
    </font>
    <font>
      <sz val="9"/>
      <color theme="0"/>
      <name val="Arial Unicode MS"/>
      <family val="3"/>
      <charset val="128"/>
    </font>
    <font>
      <sz val="9"/>
      <color theme="0"/>
      <name val="ＭＳ Ｐゴシック"/>
      <family val="3"/>
      <charset val="128"/>
    </font>
    <font>
      <sz val="8"/>
      <name val="ＭＳ Ｐゴシック"/>
      <family val="3"/>
      <charset val="128"/>
      <scheme val="minor"/>
    </font>
    <font>
      <sz val="8"/>
      <color theme="0"/>
      <name val="Arial Unicode MS"/>
      <family val="3"/>
      <charset val="128"/>
    </font>
    <font>
      <sz val="9"/>
      <color theme="1" tint="0.34998626667073579"/>
      <name val="Arial Unicode MS"/>
      <family val="3"/>
      <charset val="128"/>
    </font>
    <font>
      <sz val="10"/>
      <color theme="0"/>
      <name val="ＭＳ Ｐゴシック"/>
      <family val="3"/>
      <charset val="128"/>
      <scheme val="minor"/>
    </font>
    <font>
      <sz val="6"/>
      <color theme="0"/>
      <name val="Arial Unicode MS"/>
      <family val="3"/>
      <charset val="128"/>
    </font>
    <font>
      <b/>
      <sz val="12"/>
      <color theme="0"/>
      <name val="ＭＳ Ｐゴシック"/>
      <family val="3"/>
      <charset val="128"/>
      <scheme val="minor"/>
    </font>
    <font>
      <b/>
      <sz val="10"/>
      <color theme="1" tint="0.499984740745262"/>
      <name val="ＭＳ Ｐ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499984740745262"/>
        <bgColor indexed="64"/>
      </patternFill>
    </fill>
  </fills>
  <borders count="107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 tint="-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 tint="-0.499984740745262"/>
      </right>
      <top style="medium">
        <color theme="0"/>
      </top>
      <bottom style="thin">
        <color theme="0"/>
      </bottom>
      <diagonal/>
    </border>
    <border>
      <left/>
      <right/>
      <top style="double">
        <color theme="1" tint="0.499984740745262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0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/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0" tint="-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1" tint="0.499984740745262"/>
      </left>
      <right/>
      <top/>
      <bottom style="thin">
        <color theme="0"/>
      </bottom>
      <diagonal/>
    </border>
    <border>
      <left/>
      <right style="thin">
        <color theme="1" tint="0.499984740745262"/>
      </right>
      <top/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/>
      <bottom style="thin">
        <color theme="0"/>
      </bottom>
      <diagonal/>
    </border>
    <border>
      <left style="thin">
        <color theme="1" tint="0.499984740745262"/>
      </left>
      <right style="thin">
        <color theme="0"/>
      </right>
      <top/>
      <bottom style="thin">
        <color theme="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/>
      <right style="thin">
        <color theme="0"/>
      </right>
      <top style="thin">
        <color theme="0" tint="-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 tint="-0.499984740745262"/>
      </top>
      <bottom style="thin">
        <color theme="0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 style="thin">
        <color theme="0"/>
      </left>
      <right style="thin">
        <color theme="0" tint="-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1" tint="0.499984740745262"/>
      </right>
      <top style="thin">
        <color theme="0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1" tint="0.499984740745262"/>
      </right>
      <top style="thin">
        <color theme="0" tint="-0.499984740745262"/>
      </top>
      <bottom/>
      <diagonal/>
    </border>
    <border>
      <left style="thin">
        <color theme="0"/>
      </left>
      <right style="thin">
        <color theme="1" tint="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/>
      <bottom style="medium">
        <color theme="0"/>
      </bottom>
      <diagonal/>
    </border>
    <border>
      <left style="thin">
        <color theme="1" tint="0.499984740745262"/>
      </left>
      <right/>
      <top style="medium">
        <color theme="0"/>
      </top>
      <bottom style="medium">
        <color theme="0"/>
      </bottom>
      <diagonal/>
    </border>
    <border>
      <left style="thin">
        <color theme="0" tint="-0.499984740745262"/>
      </left>
      <right style="thin">
        <color theme="0"/>
      </right>
      <top style="thin">
        <color theme="1" tint="0.499984740745262"/>
      </top>
      <bottom style="thin">
        <color theme="0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1" tint="0.499984740745262"/>
      </right>
      <top style="thin">
        <color theme="0" tint="-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theme="0"/>
      </top>
      <bottom/>
      <diagonal/>
    </border>
    <border>
      <left/>
      <right style="thin">
        <color theme="0"/>
      </right>
      <top style="medium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 style="thin">
        <color theme="0"/>
      </top>
      <bottom style="thin">
        <color theme="1" tint="0.499984740745262"/>
      </bottom>
      <diagonal/>
    </border>
    <border>
      <left/>
      <right style="thin">
        <color theme="0"/>
      </right>
      <top/>
      <bottom style="thin">
        <color theme="1" tint="0.499984740745262"/>
      </bottom>
      <diagonal/>
    </border>
    <border>
      <left style="thin">
        <color theme="0" tint="-0.499984740745262"/>
      </left>
      <right/>
      <top style="thin">
        <color theme="0"/>
      </top>
      <bottom/>
      <diagonal/>
    </border>
    <border>
      <left style="thin">
        <color theme="0" tint="-0.499984740745262"/>
      </left>
      <right/>
      <top/>
      <bottom style="thin">
        <color theme="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/>
      </right>
      <top/>
      <bottom style="thin">
        <color theme="0" tint="-0.499984740745262"/>
      </bottom>
      <diagonal/>
    </border>
    <border>
      <left/>
      <right/>
      <top style="medium">
        <color theme="0"/>
      </top>
      <bottom/>
      <diagonal/>
    </border>
    <border>
      <left/>
      <right/>
      <top/>
      <bottom style="medium">
        <color theme="0"/>
      </bottom>
      <diagonal/>
    </border>
    <border>
      <left style="thin">
        <color theme="1" tint="0.499984740745262"/>
      </left>
      <right style="thin">
        <color theme="0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0"/>
      </right>
      <top/>
      <bottom/>
      <diagonal/>
    </border>
    <border>
      <left style="thin">
        <color theme="1" tint="0.499984740745262"/>
      </left>
      <right style="thin">
        <color theme="0"/>
      </right>
      <top/>
      <bottom style="medium">
        <color theme="0"/>
      </bottom>
      <diagonal/>
    </border>
    <border>
      <left style="thin">
        <color theme="1" tint="0.499984740745262"/>
      </left>
      <right style="thin">
        <color theme="0"/>
      </right>
      <top style="medium">
        <color theme="0"/>
      </top>
      <bottom/>
      <diagonal/>
    </border>
  </borders>
  <cellStyleXfs count="3">
    <xf numFmtId="0" fontId="0" fillId="0" borderId="0">
      <alignment vertical="center"/>
    </xf>
    <xf numFmtId="9" fontId="14" fillId="0" borderId="0" applyFont="0" applyFill="0" applyBorder="0" applyAlignment="0" applyProtection="0">
      <alignment vertical="center"/>
    </xf>
    <xf numFmtId="38" fontId="14" fillId="0" borderId="0" applyFont="0" applyFill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5" fillId="0" borderId="0" xfId="0" applyFont="1" applyFill="1" applyBorder="1">
      <alignment vertical="center"/>
    </xf>
    <xf numFmtId="38" fontId="6" fillId="0" borderId="0" xfId="2" applyFont="1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/>
    </xf>
    <xf numFmtId="0" fontId="15" fillId="0" borderId="2" xfId="0" applyFont="1" applyBorder="1">
      <alignment vertical="center"/>
    </xf>
    <xf numFmtId="0" fontId="17" fillId="0" borderId="2" xfId="0" applyFont="1" applyBorder="1" applyAlignment="1"/>
    <xf numFmtId="0" fontId="15" fillId="0" borderId="0" xfId="0" applyFont="1" applyBorder="1">
      <alignment vertical="center"/>
    </xf>
    <xf numFmtId="38" fontId="7" fillId="0" borderId="4" xfId="2" applyFont="1" applyBorder="1" applyAlignment="1">
      <alignment horizontal="center" vertical="center"/>
    </xf>
    <xf numFmtId="0" fontId="15" fillId="0" borderId="0" xfId="0" applyFont="1" applyFill="1">
      <alignment vertical="center"/>
    </xf>
    <xf numFmtId="0" fontId="15" fillId="3" borderId="0" xfId="0" applyFont="1" applyFill="1">
      <alignment vertical="center"/>
    </xf>
    <xf numFmtId="0" fontId="18" fillId="3" borderId="0" xfId="0" applyFont="1" applyFill="1">
      <alignment vertical="center"/>
    </xf>
    <xf numFmtId="0" fontId="19" fillId="3" borderId="0" xfId="0" applyFont="1" applyFill="1">
      <alignment vertical="center"/>
    </xf>
    <xf numFmtId="0" fontId="20" fillId="0" borderId="0" xfId="0" applyFont="1">
      <alignment vertical="center"/>
    </xf>
    <xf numFmtId="0" fontId="7" fillId="4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left" vertical="center"/>
    </xf>
    <xf numFmtId="38" fontId="7" fillId="0" borderId="1" xfId="2" applyFont="1" applyBorder="1" applyAlignment="1">
      <alignment horizontal="right" vertical="center"/>
    </xf>
    <xf numFmtId="38" fontId="7" fillId="0" borderId="9" xfId="2" applyFont="1" applyBorder="1" applyAlignment="1">
      <alignment horizontal="right" vertical="center"/>
    </xf>
    <xf numFmtId="38" fontId="7" fillId="0" borderId="4" xfId="2" applyFont="1" applyBorder="1" applyAlignment="1">
      <alignment horizontal="right" vertical="center"/>
    </xf>
    <xf numFmtId="176" fontId="7" fillId="0" borderId="9" xfId="1" applyNumberFormat="1" applyFont="1" applyBorder="1" applyAlignment="1">
      <alignment horizontal="right" vertical="center"/>
    </xf>
    <xf numFmtId="176" fontId="7" fillId="5" borderId="9" xfId="1" applyNumberFormat="1" applyFont="1" applyFill="1" applyBorder="1" applyAlignment="1">
      <alignment horizontal="right" vertical="center"/>
    </xf>
    <xf numFmtId="176" fontId="7" fillId="5" borderId="4" xfId="1" applyNumberFormat="1" applyFont="1" applyFill="1" applyBorder="1" applyAlignment="1">
      <alignment horizontal="right" vertical="center"/>
    </xf>
    <xf numFmtId="38" fontId="7" fillId="0" borderId="10" xfId="2" applyFont="1" applyBorder="1" applyAlignment="1">
      <alignment horizontal="right" vertical="center"/>
    </xf>
    <xf numFmtId="0" fontId="23" fillId="6" borderId="12" xfId="0" applyFont="1" applyFill="1" applyBorder="1" applyAlignment="1">
      <alignment horizontal="center" vertical="center"/>
    </xf>
    <xf numFmtId="0" fontId="22" fillId="6" borderId="14" xfId="0" applyFont="1" applyFill="1" applyBorder="1" applyAlignment="1">
      <alignment horizontal="left" vertical="center"/>
    </xf>
    <xf numFmtId="0" fontId="15" fillId="0" borderId="15" xfId="0" applyFont="1" applyBorder="1">
      <alignment vertical="center"/>
    </xf>
    <xf numFmtId="0" fontId="7" fillId="4" borderId="4" xfId="0" applyFont="1" applyFill="1" applyBorder="1" applyAlignment="1">
      <alignment horizontal="center" vertical="center"/>
    </xf>
    <xf numFmtId="0" fontId="21" fillId="0" borderId="20" xfId="0" applyFont="1" applyBorder="1" applyAlignment="1">
      <alignment horizontal="right" vertical="center"/>
    </xf>
    <xf numFmtId="0" fontId="21" fillId="0" borderId="21" xfId="0" applyFont="1" applyBorder="1" applyAlignment="1">
      <alignment horizontal="right" vertical="center"/>
    </xf>
    <xf numFmtId="0" fontId="21" fillId="0" borderId="22" xfId="0" applyFont="1" applyBorder="1" applyAlignment="1">
      <alignment horizontal="right" vertical="center"/>
    </xf>
    <xf numFmtId="0" fontId="21" fillId="0" borderId="1" xfId="0" applyFont="1" applyBorder="1" applyAlignment="1">
      <alignment horizontal="right" vertical="center"/>
    </xf>
    <xf numFmtId="38" fontId="7" fillId="0" borderId="23" xfId="2" applyFont="1" applyBorder="1" applyAlignment="1">
      <alignment horizontal="right" vertical="center"/>
    </xf>
    <xf numFmtId="38" fontId="7" fillId="0" borderId="24" xfId="2" applyFont="1" applyBorder="1" applyAlignment="1">
      <alignment horizontal="right" vertical="center"/>
    </xf>
    <xf numFmtId="0" fontId="24" fillId="0" borderId="2" xfId="0" applyFont="1" applyFill="1" applyBorder="1">
      <alignment vertical="center"/>
    </xf>
    <xf numFmtId="0" fontId="21" fillId="0" borderId="26" xfId="0" applyFont="1" applyBorder="1" applyAlignment="1">
      <alignment horizontal="right" vertical="center"/>
    </xf>
    <xf numFmtId="0" fontId="21" fillId="0" borderId="27" xfId="0" applyFont="1" applyBorder="1" applyAlignment="1">
      <alignment horizontal="right" vertical="center"/>
    </xf>
    <xf numFmtId="38" fontId="2" fillId="0" borderId="0" xfId="2" applyFont="1" applyFill="1" applyBorder="1" applyAlignment="1">
      <alignment horizontal="center" vertical="center"/>
    </xf>
    <xf numFmtId="177" fontId="15" fillId="0" borderId="0" xfId="0" applyNumberFormat="1" applyFont="1">
      <alignment vertical="center"/>
    </xf>
    <xf numFmtId="38" fontId="7" fillId="0" borderId="28" xfId="2" applyFont="1" applyBorder="1" applyAlignment="1">
      <alignment horizontal="right" vertical="center"/>
    </xf>
    <xf numFmtId="38" fontId="7" fillId="0" borderId="30" xfId="2" applyFont="1" applyBorder="1" applyAlignment="1">
      <alignment horizontal="right" vertical="center"/>
    </xf>
    <xf numFmtId="0" fontId="22" fillId="6" borderId="16" xfId="0" applyFont="1" applyFill="1" applyBorder="1" applyAlignment="1">
      <alignment vertical="center"/>
    </xf>
    <xf numFmtId="0" fontId="22" fillId="6" borderId="17" xfId="0" applyFont="1" applyFill="1" applyBorder="1" applyAlignment="1">
      <alignment vertical="center"/>
    </xf>
    <xf numFmtId="0" fontId="22" fillId="6" borderId="31" xfId="0" applyFont="1" applyFill="1" applyBorder="1" applyAlignment="1">
      <alignment vertical="center"/>
    </xf>
    <xf numFmtId="0" fontId="22" fillId="6" borderId="32" xfId="0" applyFont="1" applyFill="1" applyBorder="1" applyAlignment="1">
      <alignment vertical="center"/>
    </xf>
    <xf numFmtId="0" fontId="22" fillId="6" borderId="18" xfId="0" applyFont="1" applyFill="1" applyBorder="1" applyAlignment="1">
      <alignment vertical="center"/>
    </xf>
    <xf numFmtId="0" fontId="22" fillId="6" borderId="12" xfId="0" applyFont="1" applyFill="1" applyBorder="1" applyAlignment="1">
      <alignment vertical="center"/>
    </xf>
    <xf numFmtId="0" fontId="22" fillId="6" borderId="33" xfId="0" applyFont="1" applyFill="1" applyBorder="1" applyAlignment="1">
      <alignment vertical="center"/>
    </xf>
    <xf numFmtId="0" fontId="22" fillId="6" borderId="34" xfId="0" applyFont="1" applyFill="1" applyBorder="1" applyAlignment="1">
      <alignment vertical="center"/>
    </xf>
    <xf numFmtId="0" fontId="22" fillId="6" borderId="33" xfId="0" applyFont="1" applyFill="1" applyBorder="1" applyAlignment="1">
      <alignment horizontal="left" vertical="center"/>
    </xf>
    <xf numFmtId="0" fontId="22" fillId="6" borderId="34" xfId="0" applyFont="1" applyFill="1" applyBorder="1" applyAlignment="1">
      <alignment horizontal="left" vertical="center"/>
    </xf>
    <xf numFmtId="38" fontId="7" fillId="0" borderId="36" xfId="2" applyFont="1" applyBorder="1" applyAlignment="1">
      <alignment horizontal="right" vertical="center"/>
    </xf>
    <xf numFmtId="38" fontId="7" fillId="0" borderId="37" xfId="2" applyFont="1" applyBorder="1" applyAlignment="1">
      <alignment horizontal="right" vertical="center"/>
    </xf>
    <xf numFmtId="0" fontId="7" fillId="4" borderId="4" xfId="0" applyFont="1" applyFill="1" applyBorder="1" applyAlignment="1">
      <alignment horizontal="center" vertical="center"/>
    </xf>
    <xf numFmtId="0" fontId="15" fillId="0" borderId="57" xfId="0" applyFont="1" applyBorder="1">
      <alignment vertical="center"/>
    </xf>
    <xf numFmtId="0" fontId="15" fillId="0" borderId="56" xfId="0" applyFont="1" applyBorder="1">
      <alignment vertical="center"/>
    </xf>
    <xf numFmtId="0" fontId="26" fillId="6" borderId="56" xfId="0" applyFont="1" applyFill="1" applyBorder="1" applyAlignment="1">
      <alignment horizontal="left" vertical="center"/>
    </xf>
    <xf numFmtId="0" fontId="7" fillId="4" borderId="4" xfId="0" applyFont="1" applyFill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/>
    </xf>
    <xf numFmtId="0" fontId="22" fillId="6" borderId="13" xfId="0" applyFont="1" applyFill="1" applyBorder="1" applyAlignment="1">
      <alignment horizontal="center" vertical="center"/>
    </xf>
    <xf numFmtId="0" fontId="23" fillId="6" borderId="67" xfId="0" applyFont="1" applyFill="1" applyBorder="1" applyAlignment="1">
      <alignment horizontal="center" vertical="center"/>
    </xf>
    <xf numFmtId="0" fontId="23" fillId="6" borderId="66" xfId="0" applyFont="1" applyFill="1" applyBorder="1" applyAlignment="1">
      <alignment horizontal="center" vertical="center"/>
    </xf>
    <xf numFmtId="0" fontId="23" fillId="6" borderId="69" xfId="0" applyFont="1" applyFill="1" applyBorder="1" applyAlignment="1">
      <alignment horizontal="center" vertical="center"/>
    </xf>
    <xf numFmtId="0" fontId="23" fillId="6" borderId="70" xfId="0" applyFont="1" applyFill="1" applyBorder="1" applyAlignment="1">
      <alignment horizontal="center" vertical="center"/>
    </xf>
    <xf numFmtId="0" fontId="22" fillId="6" borderId="47" xfId="0" applyFont="1" applyFill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0" fontId="22" fillId="6" borderId="46" xfId="0" applyFont="1" applyFill="1" applyBorder="1" applyAlignment="1">
      <alignment vertical="center"/>
    </xf>
    <xf numFmtId="0" fontId="25" fillId="6" borderId="72" xfId="0" applyFont="1" applyFill="1" applyBorder="1" applyAlignment="1">
      <alignment vertical="center"/>
    </xf>
    <xf numFmtId="38" fontId="7" fillId="0" borderId="45" xfId="2" applyFont="1" applyBorder="1" applyAlignment="1">
      <alignment horizontal="right" vertical="center"/>
    </xf>
    <xf numFmtId="0" fontId="22" fillId="6" borderId="38" xfId="0" applyFont="1" applyFill="1" applyBorder="1" applyAlignment="1">
      <alignment horizontal="right" vertical="center"/>
    </xf>
    <xf numFmtId="0" fontId="22" fillId="6" borderId="70" xfId="0" applyFont="1" applyFill="1" applyBorder="1" applyAlignment="1">
      <alignment horizontal="left" vertical="center"/>
    </xf>
    <xf numFmtId="0" fontId="22" fillId="6" borderId="73" xfId="0" applyFont="1" applyFill="1" applyBorder="1" applyAlignment="1">
      <alignment vertical="center"/>
    </xf>
    <xf numFmtId="0" fontId="22" fillId="6" borderId="76" xfId="0" applyFont="1" applyFill="1" applyBorder="1" applyAlignment="1">
      <alignment horizontal="center" vertical="center"/>
    </xf>
    <xf numFmtId="0" fontId="22" fillId="6" borderId="61" xfId="0" applyFont="1" applyFill="1" applyBorder="1" applyAlignment="1">
      <alignment horizontal="center" vertical="center"/>
    </xf>
    <xf numFmtId="0" fontId="22" fillId="6" borderId="62" xfId="0" applyFont="1" applyFill="1" applyBorder="1" applyAlignment="1">
      <alignment horizontal="center" vertical="center"/>
    </xf>
    <xf numFmtId="0" fontId="22" fillId="6" borderId="79" xfId="0" applyFont="1" applyFill="1" applyBorder="1" applyAlignment="1">
      <alignment horizontal="center" vertical="center"/>
    </xf>
    <xf numFmtId="38" fontId="7" fillId="0" borderId="26" xfId="2" applyFont="1" applyBorder="1" applyAlignment="1">
      <alignment horizontal="right" vertical="center"/>
    </xf>
    <xf numFmtId="38" fontId="7" fillId="0" borderId="81" xfId="2" applyFont="1" applyBorder="1" applyAlignment="1">
      <alignment horizontal="right" vertical="center"/>
    </xf>
    <xf numFmtId="38" fontId="7" fillId="0" borderId="82" xfId="2" applyFont="1" applyBorder="1" applyAlignment="1">
      <alignment horizontal="right" vertical="center"/>
    </xf>
    <xf numFmtId="38" fontId="7" fillId="0" borderId="83" xfId="2" applyFont="1" applyBorder="1" applyAlignment="1">
      <alignment horizontal="right" vertical="center"/>
    </xf>
    <xf numFmtId="38" fontId="7" fillId="0" borderId="84" xfId="2" applyFont="1" applyBorder="1" applyAlignment="1">
      <alignment horizontal="right" vertical="center"/>
    </xf>
    <xf numFmtId="38" fontId="7" fillId="0" borderId="3" xfId="2" applyFont="1" applyBorder="1" applyAlignment="1">
      <alignment horizontal="right" vertical="center"/>
    </xf>
    <xf numFmtId="0" fontId="22" fillId="6" borderId="87" xfId="0" applyFont="1" applyFill="1" applyBorder="1" applyAlignment="1">
      <alignment horizontal="right" vertical="center"/>
    </xf>
    <xf numFmtId="0" fontId="22" fillId="6" borderId="63" xfId="0" applyFont="1" applyFill="1" applyBorder="1" applyAlignment="1">
      <alignment horizontal="center" vertical="center"/>
    </xf>
    <xf numFmtId="176" fontId="7" fillId="0" borderId="29" xfId="1" applyNumberFormat="1" applyFont="1" applyBorder="1" applyAlignment="1">
      <alignment horizontal="right" vertical="center"/>
    </xf>
    <xf numFmtId="176" fontId="7" fillId="5" borderId="80" xfId="1" applyNumberFormat="1" applyFont="1" applyFill="1" applyBorder="1" applyAlignment="1">
      <alignment horizontal="right" vertical="center"/>
    </xf>
    <xf numFmtId="0" fontId="7" fillId="5" borderId="77" xfId="0" applyFont="1" applyFill="1" applyBorder="1" applyAlignment="1">
      <alignment horizontal="left" vertical="center"/>
    </xf>
    <xf numFmtId="176" fontId="7" fillId="5" borderId="89" xfId="1" applyNumberFormat="1" applyFont="1" applyFill="1" applyBorder="1" applyAlignment="1">
      <alignment horizontal="right" vertical="center"/>
    </xf>
    <xf numFmtId="176" fontId="7" fillId="5" borderId="90" xfId="1" applyNumberFormat="1" applyFont="1" applyFill="1" applyBorder="1" applyAlignment="1">
      <alignment horizontal="right" vertical="center"/>
    </xf>
    <xf numFmtId="176" fontId="7" fillId="5" borderId="91" xfId="1" applyNumberFormat="1" applyFont="1" applyFill="1" applyBorder="1" applyAlignment="1">
      <alignment horizontal="right" vertical="center"/>
    </xf>
    <xf numFmtId="0" fontId="22" fillId="6" borderId="94" xfId="0" applyFont="1" applyFill="1" applyBorder="1" applyAlignment="1">
      <alignment vertical="center"/>
    </xf>
    <xf numFmtId="0" fontId="22" fillId="6" borderId="95" xfId="0" applyFont="1" applyFill="1" applyBorder="1" applyAlignment="1">
      <alignment vertical="center"/>
    </xf>
    <xf numFmtId="0" fontId="29" fillId="3" borderId="0" xfId="0" applyFont="1" applyFill="1">
      <alignment vertical="center"/>
    </xf>
    <xf numFmtId="38" fontId="7" fillId="0" borderId="5" xfId="2" applyFont="1" applyBorder="1" applyAlignment="1">
      <alignment horizontal="center" vertical="center"/>
    </xf>
    <xf numFmtId="38" fontId="7" fillId="0" borderId="6" xfId="2" applyFont="1" applyBorder="1" applyAlignment="1">
      <alignment horizontal="center" vertical="center"/>
    </xf>
    <xf numFmtId="38" fontId="7" fillId="0" borderId="88" xfId="2" applyFont="1" applyBorder="1" applyAlignment="1">
      <alignment horizontal="center" vertical="center"/>
    </xf>
    <xf numFmtId="38" fontId="7" fillId="0" borderId="27" xfId="2" applyFont="1" applyBorder="1" applyAlignment="1">
      <alignment horizontal="right" vertical="center"/>
    </xf>
    <xf numFmtId="0" fontId="21" fillId="0" borderId="4" xfId="0" applyFont="1" applyBorder="1">
      <alignment vertical="center"/>
    </xf>
    <xf numFmtId="0" fontId="21" fillId="0" borderId="80" xfId="0" applyFont="1" applyBorder="1">
      <alignment vertical="center"/>
    </xf>
    <xf numFmtId="38" fontId="7" fillId="0" borderId="22" xfId="2" applyFont="1" applyBorder="1" applyAlignment="1">
      <alignment horizontal="right" vertical="center"/>
    </xf>
    <xf numFmtId="38" fontId="7" fillId="0" borderId="75" xfId="2" applyFont="1" applyBorder="1" applyAlignment="1">
      <alignment horizontal="right" vertical="center"/>
    </xf>
    <xf numFmtId="38" fontId="7" fillId="0" borderId="8" xfId="2" applyFont="1" applyBorder="1" applyAlignment="1">
      <alignment horizontal="right" vertical="center"/>
    </xf>
    <xf numFmtId="38" fontId="1" fillId="0" borderId="6" xfId="2" applyFont="1" applyBorder="1" applyAlignment="1">
      <alignment vertical="top" wrapText="1"/>
    </xf>
    <xf numFmtId="38" fontId="1" fillId="0" borderId="40" xfId="2" applyFont="1" applyBorder="1" applyAlignment="1">
      <alignment vertical="top" wrapText="1"/>
    </xf>
    <xf numFmtId="38" fontId="1" fillId="0" borderId="58" xfId="2" applyFont="1" applyBorder="1" applyAlignment="1">
      <alignment vertical="top" wrapText="1"/>
    </xf>
    <xf numFmtId="38" fontId="1" fillId="0" borderId="59" xfId="2" applyFont="1" applyBorder="1" applyAlignment="1">
      <alignment vertical="top" wrapText="1"/>
    </xf>
    <xf numFmtId="0" fontId="7" fillId="4" borderId="6" xfId="0" applyFont="1" applyFill="1" applyBorder="1" applyAlignment="1">
      <alignment horizontal="center" vertical="center"/>
    </xf>
    <xf numFmtId="0" fontId="7" fillId="4" borderId="64" xfId="0" applyFont="1" applyFill="1" applyBorder="1" applyAlignment="1">
      <alignment horizontal="center" vertical="center"/>
    </xf>
    <xf numFmtId="0" fontId="7" fillId="4" borderId="40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 wrapText="1"/>
    </xf>
    <xf numFmtId="0" fontId="22" fillId="6" borderId="103" xfId="0" applyFont="1" applyFill="1" applyBorder="1" applyAlignment="1">
      <alignment horizontal="center" vertical="center" wrapText="1"/>
    </xf>
    <xf numFmtId="0" fontId="22" fillId="6" borderId="104" xfId="0" applyFont="1" applyFill="1" applyBorder="1" applyAlignment="1">
      <alignment horizontal="center" vertical="center" wrapText="1"/>
    </xf>
    <xf numFmtId="0" fontId="22" fillId="6" borderId="105" xfId="0" applyFont="1" applyFill="1" applyBorder="1" applyAlignment="1">
      <alignment horizontal="center" vertical="center" wrapText="1"/>
    </xf>
    <xf numFmtId="0" fontId="22" fillId="6" borderId="106" xfId="0" applyFont="1" applyFill="1" applyBorder="1" applyAlignment="1">
      <alignment horizontal="center" vertical="center" wrapText="1"/>
    </xf>
    <xf numFmtId="0" fontId="22" fillId="6" borderId="68" xfId="0" applyFont="1" applyFill="1" applyBorder="1" applyAlignment="1">
      <alignment horizontal="center" vertical="center"/>
    </xf>
    <xf numFmtId="0" fontId="22" fillId="6" borderId="11" xfId="0" applyFont="1" applyFill="1" applyBorder="1" applyAlignment="1">
      <alignment horizontal="center" vertical="center"/>
    </xf>
    <xf numFmtId="0" fontId="22" fillId="6" borderId="97" xfId="0" applyFont="1" applyFill="1" applyBorder="1" applyAlignment="1">
      <alignment horizontal="center" vertical="center"/>
    </xf>
    <xf numFmtId="0" fontId="22" fillId="6" borderId="12" xfId="0" applyFont="1" applyFill="1" applyBorder="1" applyAlignment="1">
      <alignment horizontal="center" vertical="center"/>
    </xf>
    <xf numFmtId="0" fontId="22" fillId="6" borderId="98" xfId="0" applyFont="1" applyFill="1" applyBorder="1" applyAlignment="1">
      <alignment horizontal="center" vertical="center"/>
    </xf>
    <xf numFmtId="0" fontId="22" fillId="6" borderId="46" xfId="0" applyFont="1" applyFill="1" applyBorder="1" applyAlignment="1">
      <alignment horizontal="center" vertical="center"/>
    </xf>
    <xf numFmtId="0" fontId="22" fillId="6" borderId="99" xfId="0" applyFont="1" applyFill="1" applyBorder="1" applyAlignment="1">
      <alignment horizontal="center" vertical="center"/>
    </xf>
    <xf numFmtId="0" fontId="22" fillId="6" borderId="100" xfId="0" applyFont="1" applyFill="1" applyBorder="1" applyAlignment="1">
      <alignment horizontal="center" vertical="center"/>
    </xf>
    <xf numFmtId="0" fontId="22" fillId="6" borderId="86" xfId="0" applyFont="1" applyFill="1" applyBorder="1" applyAlignment="1">
      <alignment horizontal="center" vertical="center" wrapText="1"/>
    </xf>
    <xf numFmtId="0" fontId="22" fillId="6" borderId="72" xfId="0" applyFont="1" applyFill="1" applyBorder="1" applyAlignment="1">
      <alignment horizontal="center" vertical="center" wrapText="1"/>
    </xf>
    <xf numFmtId="0" fontId="27" fillId="7" borderId="48" xfId="0" applyFont="1" applyFill="1" applyBorder="1" applyAlignment="1">
      <alignment horizontal="left" vertical="center"/>
    </xf>
    <xf numFmtId="0" fontId="27" fillId="7" borderId="49" xfId="0" applyFont="1" applyFill="1" applyBorder="1" applyAlignment="1">
      <alignment horizontal="left" vertical="center"/>
    </xf>
    <xf numFmtId="0" fontId="27" fillId="7" borderId="42" xfId="0" applyFont="1" applyFill="1" applyBorder="1" applyAlignment="1">
      <alignment horizontal="left" vertical="center"/>
    </xf>
    <xf numFmtId="0" fontId="27" fillId="7" borderId="35" xfId="0" applyFont="1" applyFill="1" applyBorder="1" applyAlignment="1">
      <alignment horizontal="left" vertical="center"/>
    </xf>
    <xf numFmtId="0" fontId="22" fillId="6" borderId="78" xfId="0" applyFont="1" applyFill="1" applyBorder="1" applyAlignment="1">
      <alignment horizontal="right" vertical="center"/>
    </xf>
    <xf numFmtId="0" fontId="22" fillId="6" borderId="17" xfId="0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Border="1" applyAlignment="1">
      <alignment horizontal="center" vertical="center"/>
    </xf>
    <xf numFmtId="0" fontId="22" fillId="6" borderId="55" xfId="0" applyFont="1" applyFill="1" applyBorder="1" applyAlignment="1">
      <alignment horizontal="right" vertical="center"/>
    </xf>
    <xf numFmtId="0" fontId="22" fillId="6" borderId="74" xfId="0" applyFont="1" applyFill="1" applyBorder="1" applyAlignment="1">
      <alignment horizontal="right" vertical="center"/>
    </xf>
    <xf numFmtId="0" fontId="22" fillId="6" borderId="60" xfId="0" applyFont="1" applyFill="1" applyBorder="1" applyAlignment="1">
      <alignment horizontal="center" vertical="center" wrapText="1"/>
    </xf>
    <xf numFmtId="0" fontId="22" fillId="6" borderId="39" xfId="0" applyFont="1" applyFill="1" applyBorder="1" applyAlignment="1">
      <alignment horizontal="center" vertical="center" wrapText="1"/>
    </xf>
    <xf numFmtId="0" fontId="22" fillId="6" borderId="85" xfId="0" applyFont="1" applyFill="1" applyBorder="1" applyAlignment="1">
      <alignment horizontal="center" vertical="center" wrapText="1"/>
    </xf>
    <xf numFmtId="0" fontId="22" fillId="6" borderId="71" xfId="0" applyFont="1" applyFill="1" applyBorder="1" applyAlignment="1">
      <alignment horizontal="center" vertical="center" wrapText="1"/>
    </xf>
    <xf numFmtId="0" fontId="22" fillId="6" borderId="92" xfId="0" applyFont="1" applyFill="1" applyBorder="1" applyAlignment="1">
      <alignment horizontal="center" vertical="center" wrapText="1"/>
    </xf>
    <xf numFmtId="0" fontId="22" fillId="6" borderId="93" xfId="0" applyFont="1" applyFill="1" applyBorder="1" applyAlignment="1">
      <alignment horizontal="center" vertical="center" wrapText="1"/>
    </xf>
    <xf numFmtId="0" fontId="22" fillId="6" borderId="25" xfId="0" applyFont="1" applyFill="1" applyBorder="1" applyAlignment="1">
      <alignment horizontal="center" vertical="center" wrapText="1"/>
    </xf>
    <xf numFmtId="0" fontId="22" fillId="6" borderId="96" xfId="0" applyFont="1" applyFill="1" applyBorder="1" applyAlignment="1">
      <alignment horizontal="center" vertical="center" wrapText="1"/>
    </xf>
    <xf numFmtId="0" fontId="22" fillId="6" borderId="65" xfId="0" applyFont="1" applyFill="1" applyBorder="1" applyAlignment="1">
      <alignment horizontal="center" vertical="center"/>
    </xf>
    <xf numFmtId="0" fontId="22" fillId="6" borderId="66" xfId="0" applyFont="1" applyFill="1" applyBorder="1" applyAlignment="1">
      <alignment horizontal="center" vertical="center"/>
    </xf>
    <xf numFmtId="0" fontId="22" fillId="6" borderId="101" xfId="0" applyFont="1" applyFill="1" applyBorder="1" applyAlignment="1">
      <alignment horizontal="center" vertical="center" wrapText="1"/>
    </xf>
    <xf numFmtId="0" fontId="22" fillId="6" borderId="102" xfId="0" applyFont="1" applyFill="1" applyBorder="1" applyAlignment="1">
      <alignment horizontal="center" vertical="center" wrapText="1"/>
    </xf>
    <xf numFmtId="0" fontId="22" fillId="6" borderId="92" xfId="0" applyFont="1" applyFill="1" applyBorder="1" applyAlignment="1">
      <alignment horizontal="center" vertical="center"/>
    </xf>
    <xf numFmtId="0" fontId="22" fillId="6" borderId="93" xfId="0" applyFont="1" applyFill="1" applyBorder="1" applyAlignment="1">
      <alignment horizontal="center" vertical="center"/>
    </xf>
    <xf numFmtId="0" fontId="22" fillId="6" borderId="60" xfId="0" applyFont="1" applyFill="1" applyBorder="1" applyAlignment="1">
      <alignment horizontal="center" vertical="center"/>
    </xf>
    <xf numFmtId="0" fontId="22" fillId="6" borderId="39" xfId="0" applyFont="1" applyFill="1" applyBorder="1" applyAlignment="1">
      <alignment horizontal="center" vertical="center"/>
    </xf>
    <xf numFmtId="0" fontId="22" fillId="6" borderId="85" xfId="0" applyFont="1" applyFill="1" applyBorder="1" applyAlignment="1">
      <alignment horizontal="center" vertical="center"/>
    </xf>
    <xf numFmtId="0" fontId="22" fillId="6" borderId="7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43" xfId="0" applyFont="1" applyBorder="1" applyAlignment="1">
      <alignment horizontal="left" vertical="center"/>
    </xf>
    <xf numFmtId="0" fontId="15" fillId="0" borderId="44" xfId="0" applyFont="1" applyBorder="1" applyAlignment="1">
      <alignment horizontal="left" vertical="center"/>
    </xf>
    <xf numFmtId="0" fontId="15" fillId="0" borderId="45" xfId="0" applyFont="1" applyBorder="1" applyAlignment="1">
      <alignment horizontal="left" vertical="center"/>
    </xf>
    <xf numFmtId="0" fontId="27" fillId="7" borderId="41" xfId="0" applyFont="1" applyFill="1" applyBorder="1" applyAlignment="1">
      <alignment horizontal="left" vertical="center"/>
    </xf>
    <xf numFmtId="0" fontId="27" fillId="7" borderId="50" xfId="0" applyFont="1" applyFill="1" applyBorder="1" applyAlignment="1">
      <alignment horizontal="left" vertical="center"/>
    </xf>
    <xf numFmtId="0" fontId="27" fillId="7" borderId="51" xfId="0" applyFont="1" applyFill="1" applyBorder="1" applyAlignment="1">
      <alignment horizontal="left" vertical="center"/>
    </xf>
    <xf numFmtId="0" fontId="27" fillId="7" borderId="0" xfId="0" applyFont="1" applyFill="1" applyBorder="1" applyAlignment="1">
      <alignment horizontal="left" vertical="center"/>
    </xf>
    <xf numFmtId="0" fontId="27" fillId="7" borderId="52" xfId="0" applyFont="1" applyFill="1" applyBorder="1" applyAlignment="1">
      <alignment horizontal="left" vertical="center"/>
    </xf>
    <xf numFmtId="0" fontId="27" fillId="7" borderId="3" xfId="0" applyFont="1" applyFill="1" applyBorder="1" applyAlignment="1">
      <alignment horizontal="left" vertical="center"/>
    </xf>
    <xf numFmtId="0" fontId="27" fillId="7" borderId="53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left" vertical="center"/>
    </xf>
  </cellXfs>
  <cellStyles count="3">
    <cellStyle name="パーセント" xfId="1" builtinId="5"/>
    <cellStyle name="桁区切り" xfId="2" builtinId="6"/>
    <cellStyle name="標準" xfId="0" builtinId="0"/>
  </cellStyles>
  <dxfs count="13"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alcChain" Target="calcChain.xml"/>
</Relationships>
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61698864064713E-2"/>
          <c:y val="0.16484844813683625"/>
          <c:w val="0.95203830113593457"/>
          <c:h val="0.69634148000424434"/>
        </c:manualLayout>
      </c:layout>
      <c:lineChart>
        <c:grouping val="standard"/>
        <c:varyColors val="0"/>
        <c:ser>
          <c:idx val="0"/>
          <c:order val="0"/>
          <c:tx>
            <c:v>SSP</c:v>
          </c:tx>
          <c:spPr>
            <a:ln w="19050"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'01＿集客・アクセスレポート'!$V$77:$AH$77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55-4690-A585-3A658E45866D}"/>
            </c:ext>
          </c:extLst>
        </c:ser>
        <c:ser>
          <c:idx val="1"/>
          <c:order val="1"/>
          <c:tx>
            <c:v>SS</c:v>
          </c:tx>
          <c:spPr>
            <a:ln w="19050">
              <a:solidFill>
                <a:schemeClr val="accent2">
                  <a:lumMod val="75000"/>
                </a:schemeClr>
              </a:solidFill>
              <a:prstDash val="sysDash"/>
            </a:ln>
          </c:spPr>
          <c:marker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'01＿集客・アクセスレポート'!$V$78:$AH$78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55-4690-A585-3A658E45866D}"/>
            </c:ext>
          </c:extLst>
        </c:ser>
        <c:ser>
          <c:idx val="2"/>
          <c:order val="2"/>
          <c:tx>
            <c:v>A</c:v>
          </c:tx>
          <c:spPr>
            <a:ln w="19050"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'01＿集客・アクセスレポート'!$V$79:$AH$79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255-4690-A585-3A658E45866D}"/>
            </c:ext>
          </c:extLst>
        </c:ser>
        <c:ser>
          <c:idx val="3"/>
          <c:order val="3"/>
          <c:tx>
            <c:v>B</c:v>
          </c:tx>
          <c:spPr>
            <a:ln w="19050">
              <a:solidFill>
                <a:schemeClr val="accent2">
                  <a:lumMod val="75000"/>
                </a:schemeClr>
              </a:solidFill>
              <a:prstDash val="dash"/>
            </a:ln>
          </c:spPr>
          <c:marker>
            <c:symbol val="triangle"/>
            <c:size val="5"/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'01＿集客・アクセスレポート'!$V$80:$AH$80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55-4690-A585-3A658E45866D}"/>
            </c:ext>
          </c:extLst>
        </c:ser>
        <c:ser>
          <c:idx val="6"/>
          <c:order val="4"/>
          <c:tx>
            <c:v>BPP</c:v>
          </c:tx>
          <c:spPr>
            <a:ln w="19050">
              <a:solidFill>
                <a:schemeClr val="accent2">
                  <a:lumMod val="75000"/>
                </a:schemeClr>
              </a:solidFill>
              <a:prstDash val="solid"/>
            </a:ln>
          </c:spPr>
          <c:marker>
            <c:symbol val="circle"/>
            <c:size val="5"/>
            <c:spPr>
              <a:solidFill>
                <a:schemeClr val="bg1"/>
              </a:solidFill>
              <a:ln w="9525">
                <a:solidFill>
                  <a:schemeClr val="accent2">
                    <a:lumMod val="75000"/>
                  </a:schemeClr>
                </a:solidFill>
              </a:ln>
            </c:spPr>
          </c:marker>
          <c:val>
            <c:numRef>
              <c:f>'01＿集客・アクセスレポート'!$V$81:$AH$81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55-4690-A585-3A658E45866D}"/>
            </c:ext>
          </c:extLst>
        </c:ser>
        <c:ser>
          <c:idx val="4"/>
          <c:order val="5"/>
          <c:tx>
            <c:v>BS</c:v>
          </c:tx>
          <c:spPr>
            <a:ln w="19050">
              <a:solidFill>
                <a:schemeClr val="accent2">
                  <a:lumMod val="75000"/>
                </a:schemeClr>
              </a:solidFill>
              <a:prstDash val="sysDot"/>
            </a:ln>
          </c:spPr>
          <c:marker>
            <c:symbol val="star"/>
            <c:size val="5"/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'01＿集客・アクセスレポート'!$V$82:$AH$82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55-4690-A585-3A658E45866D}"/>
            </c:ext>
          </c:extLst>
        </c:ser>
        <c:ser>
          <c:idx val="5"/>
          <c:order val="6"/>
          <c:tx>
            <c:v>貴店</c:v>
          </c:tx>
          <c:spPr>
            <a:ln w="3810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'01＿集客・アクセスレポート'!$V$43:$AH$43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55-4690-A585-3A658E458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8519808"/>
        <c:axId val="458521768"/>
      </c:lineChart>
      <c:catAx>
        <c:axId val="458519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58521768"/>
        <c:crosses val="autoZero"/>
        <c:auto val="1"/>
        <c:lblAlgn val="ctr"/>
        <c:lblOffset val="100"/>
        <c:noMultiLvlLbl val="0"/>
      </c:catAx>
      <c:valAx>
        <c:axId val="458521768"/>
        <c:scaling>
          <c:orientation val="minMax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_);[Red]\(#,##0\)" sourceLinked="1"/>
        <c:majorTickMark val="out"/>
        <c:minorTickMark val="none"/>
        <c:tickLblPos val="nextTo"/>
        <c:crossAx val="458519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2988538504383387"/>
          <c:y val="1.9568053993250865E-2"/>
          <c:w val="0.44811556853076701"/>
          <c:h val="0.12440120328703939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0"/>
    <c:plotArea>
      <c:layout>
        <c:manualLayout>
          <c:layoutTarget val="inner"/>
          <c:xMode val="edge"/>
          <c:yMode val="edge"/>
          <c:x val="4.7961698864064713E-2"/>
          <c:y val="0.16484844813683641"/>
          <c:w val="0.95203830113593457"/>
          <c:h val="0.69634148000424434"/>
        </c:manualLayout>
      </c:layout>
      <c:lineChart>
        <c:grouping val="standard"/>
        <c:varyColors val="0"/>
        <c:ser>
          <c:idx val="0"/>
          <c:order val="0"/>
          <c:tx>
            <c:v>SSP</c:v>
          </c:tx>
          <c:spPr>
            <a:ln w="19050"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'01＿集客・アクセスレポート'!$V$83:$AH$83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AA3-41E7-BCA5-594D5E3BD704}"/>
            </c:ext>
          </c:extLst>
        </c:ser>
        <c:ser>
          <c:idx val="1"/>
          <c:order val="1"/>
          <c:tx>
            <c:v>SS</c:v>
          </c:tx>
          <c:spPr>
            <a:ln w="19050">
              <a:solidFill>
                <a:schemeClr val="accent2">
                  <a:lumMod val="75000"/>
                </a:schemeClr>
              </a:solidFill>
              <a:prstDash val="sysDash"/>
            </a:ln>
          </c:spPr>
          <c:marker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'01＿集客・アクセスレポート'!$V$84:$AH$84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A3-41E7-BCA5-594D5E3BD704}"/>
            </c:ext>
          </c:extLst>
        </c:ser>
        <c:ser>
          <c:idx val="2"/>
          <c:order val="2"/>
          <c:tx>
            <c:v>A</c:v>
          </c:tx>
          <c:spPr>
            <a:ln w="19050">
              <a:solidFill>
                <a:schemeClr val="accent2">
                  <a:lumMod val="75000"/>
                </a:schemeClr>
              </a:solidFill>
            </a:ln>
          </c:spPr>
          <c:marker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'01＿集客・アクセスレポート'!$V$85:$AH$85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AA3-41E7-BCA5-594D5E3BD704}"/>
            </c:ext>
          </c:extLst>
        </c:ser>
        <c:ser>
          <c:idx val="3"/>
          <c:order val="3"/>
          <c:tx>
            <c:v>B</c:v>
          </c:tx>
          <c:spPr>
            <a:ln w="19050">
              <a:solidFill>
                <a:schemeClr val="accent2">
                  <a:lumMod val="75000"/>
                </a:schemeClr>
              </a:solidFill>
              <a:prstDash val="dash"/>
            </a:ln>
          </c:spPr>
          <c:marker>
            <c:symbol val="triangle"/>
            <c:size val="5"/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'01＿集客・アクセスレポート'!$V$86:$AH$86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AA3-41E7-BCA5-594D5E3BD704}"/>
            </c:ext>
          </c:extLst>
        </c:ser>
        <c:ser>
          <c:idx val="6"/>
          <c:order val="4"/>
          <c:tx>
            <c:v>BPP</c:v>
          </c:tx>
          <c:spPr>
            <a:ln w="19050">
              <a:solidFill>
                <a:srgbClr val="C0504D">
                  <a:lumMod val="75000"/>
                </a:srgbClr>
              </a:solidFill>
            </a:ln>
          </c:spPr>
          <c:marker>
            <c:symbol val="circle"/>
            <c:size val="5"/>
            <c:spPr>
              <a:solidFill>
                <a:sysClr val="window" lastClr="FFFFFF"/>
              </a:solidFill>
              <a:ln>
                <a:solidFill>
                  <a:srgbClr val="C0504D">
                    <a:lumMod val="75000"/>
                  </a:srgbClr>
                </a:solidFill>
              </a:ln>
            </c:spPr>
          </c:marker>
          <c:val>
            <c:numRef>
              <c:f>'01＿集客・アクセスレポート'!$V$87:$AH$87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AA3-41E7-BCA5-594D5E3BD704}"/>
            </c:ext>
          </c:extLst>
        </c:ser>
        <c:ser>
          <c:idx val="4"/>
          <c:order val="5"/>
          <c:tx>
            <c:v>BS</c:v>
          </c:tx>
          <c:spPr>
            <a:ln w="19050">
              <a:solidFill>
                <a:schemeClr val="accent2">
                  <a:lumMod val="75000"/>
                </a:schemeClr>
              </a:solidFill>
              <a:prstDash val="sysDot"/>
            </a:ln>
          </c:spPr>
          <c:marker>
            <c:spPr>
              <a:noFill/>
              <a:ln>
                <a:solidFill>
                  <a:schemeClr val="accent2">
                    <a:lumMod val="75000"/>
                  </a:schemeClr>
                </a:solidFill>
              </a:ln>
            </c:spPr>
          </c:marker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'01＿集客・アクセスレポート'!$V$88:$AH$88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AA3-41E7-BCA5-594D5E3BD704}"/>
            </c:ext>
          </c:extLst>
        </c:ser>
        <c:ser>
          <c:idx val="5"/>
          <c:order val="6"/>
          <c:tx>
            <c:v>貴店</c:v>
          </c:tx>
          <c:spPr>
            <a:ln w="38100">
              <a:solidFill>
                <a:srgbClr val="C00000"/>
              </a:solidFill>
            </a:ln>
          </c:spPr>
          <c:marker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'01＿集客・アクセスレポート'!$V$40:$AH$40</c:f>
              <c:numCache>
                <c:formatCode>General</c:formatCode>
                <c:ptCount val="13"/>
              </c:numCache>
            </c:numRef>
          </c:cat>
          <c:val>
            <c:numRef>
              <c:f>'01＿集客・アクセスレポート'!$V$49:$AH$49</c:f>
              <c:numCache>
                <c:formatCode>#,##0_);[Red]\(#,##0\)</c:formatCode>
                <c:ptCount val="1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AA3-41E7-BCA5-594D5E3BD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221968"/>
        <c:axId val="257221576"/>
      </c:lineChart>
      <c:catAx>
        <c:axId val="2572219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57221576"/>
        <c:crosses val="autoZero"/>
        <c:auto val="1"/>
        <c:lblAlgn val="ctr"/>
        <c:lblOffset val="100"/>
        <c:noMultiLvlLbl val="0"/>
      </c:catAx>
      <c:valAx>
        <c:axId val="257221576"/>
        <c:scaling>
          <c:orientation val="minMax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_);[Red]\(#,##0\)" sourceLinked="1"/>
        <c:majorTickMark val="out"/>
        <c:minorTickMark val="none"/>
        <c:tickLblPos val="nextTo"/>
        <c:crossAx val="25722196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3210394968397379"/>
          <c:y val="2.4428267823250242E-2"/>
          <c:w val="0.4606895642515923"/>
          <c:h val="0.12617278634824672"/>
        </c:manualLayout>
      </c:layout>
      <c:overlay val="0"/>
    </c:legend>
    <c:plotVisOnly val="1"/>
    <c:dispBlanksAs val="gap"/>
    <c:showDLblsOverMax val="0"/>
  </c:chart>
  <c:spPr>
    <a:ln>
      <a:solidFill>
        <a:schemeClr val="bg1">
          <a:lumMod val="75000"/>
        </a:schemeClr>
      </a:solidFill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chart" Target="../charts/chart1.xml"/>
  <Relationship Id="rId2" Type="http://schemas.openxmlformats.org/officeDocument/2006/relationships/chart" Target="../charts/chart2.xml"/>
  <Relationship Id="rId3" Type="http://schemas.openxmlformats.org/officeDocument/2006/relationships/image" Target="../media/image1.png"/>
  <Relationship Id="rId4" Type="http://schemas.openxmlformats.org/officeDocument/2006/relationships/image" Target="../media/image2.png"/>
</Relationships>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35022</xdr:colOff>
      <xdr:row>0</xdr:row>
      <xdr:rowOff>0</xdr:rowOff>
    </xdr:from>
    <xdr:ext cx="6806800" cy="625812"/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77947" y="0"/>
          <a:ext cx="6806800" cy="625812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">
              <a:rot lat="0" lon="0" rev="18900000"/>
            </a:lightRig>
          </a:scene3d>
          <a:sp3d extrusionH="31750" contourW="6350" prstMaterial="powder">
            <a:bevelT w="19050" h="19050" prst="angle"/>
            <a:contourClr>
              <a:schemeClr val="accent3">
                <a:tint val="100000"/>
                <a:shade val="100000"/>
                <a:satMod val="100000"/>
                <a:hueMod val="100000"/>
              </a:schemeClr>
            </a:contourClr>
          </a:sp3d>
        </a:bodyPr>
        <a:lstStyle/>
        <a:p>
          <a:pPr algn="l"/>
          <a:r>
            <a:rPr lang="en-US" altLang="ja-JP" sz="3200" b="1" cap="none" spc="0">
              <a:ln/>
              <a:solidFill>
                <a:srgbClr val="C00000"/>
              </a:solidFill>
              <a:effectLst/>
            </a:rPr>
            <a:t>HotPepper</a:t>
          </a:r>
          <a:r>
            <a:rPr lang="ja-JP" altLang="en-US" sz="3200" b="1" cap="none" spc="0">
              <a:ln/>
              <a:solidFill>
                <a:srgbClr val="C0000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C00000"/>
              </a:solidFill>
              <a:effectLst/>
            </a:rPr>
            <a:t>Client</a:t>
          </a:r>
          <a:r>
            <a:rPr lang="ja-JP" altLang="en-US" sz="3200" b="1" cap="none" spc="0">
              <a:ln/>
              <a:solidFill>
                <a:srgbClr val="C0000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C00000"/>
              </a:solidFill>
              <a:effectLst/>
            </a:rPr>
            <a:t> Report</a:t>
          </a:r>
          <a:r>
            <a:rPr lang="ja-JP" altLang="en-US" sz="3200" b="1" cap="none" spc="0">
              <a:ln/>
              <a:solidFill>
                <a:srgbClr val="C00000"/>
              </a:solidFill>
              <a:effectLst/>
            </a:rPr>
            <a:t>　</a:t>
          </a:r>
          <a:r>
            <a:rPr lang="en-US" altLang="ja-JP" sz="3200" b="1" cap="none" spc="0">
              <a:ln/>
              <a:solidFill>
                <a:srgbClr val="C00000"/>
              </a:solidFill>
              <a:effectLst/>
            </a:rPr>
            <a:t>(Monthly)</a:t>
          </a:r>
        </a:p>
      </xdr:txBody>
    </xdr:sp>
    <xdr:clientData/>
  </xdr:oneCellAnchor>
  <xdr:twoCellAnchor>
    <xdr:from>
      <xdr:col>19</xdr:col>
      <xdr:colOff>509586</xdr:colOff>
      <xdr:row>8</xdr:row>
      <xdr:rowOff>130968</xdr:rowOff>
    </xdr:from>
    <xdr:to>
      <xdr:col>33</xdr:col>
      <xdr:colOff>726280</xdr:colOff>
      <xdr:row>20</xdr:row>
      <xdr:rowOff>83344</xdr:rowOff>
    </xdr:to>
    <xdr:graphicFrame macro="">
      <xdr:nvGraphicFramePr>
        <xdr:cNvPr id="2051" name="グラフ 10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511967</xdr:colOff>
      <xdr:row>23</xdr:row>
      <xdr:rowOff>138112</xdr:rowOff>
    </xdr:from>
    <xdr:to>
      <xdr:col>33</xdr:col>
      <xdr:colOff>740492</xdr:colOff>
      <xdr:row>35</xdr:row>
      <xdr:rowOff>31555</xdr:rowOff>
    </xdr:to>
    <xdr:graphicFrame macro="">
      <xdr:nvGraphicFramePr>
        <xdr:cNvPr id="2055" name="グラフ 9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30</xdr:col>
      <xdr:colOff>66675</xdr:colOff>
      <xdr:row>0</xdr:row>
      <xdr:rowOff>58883</xdr:rowOff>
    </xdr:from>
    <xdr:to>
      <xdr:col>34</xdr:col>
      <xdr:colOff>126546</xdr:colOff>
      <xdr:row>1</xdr:row>
      <xdr:rowOff>317015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630092" y="58883"/>
          <a:ext cx="2850696" cy="494140"/>
        </a:xfrm>
        <a:prstGeom prst="rect">
          <a:avLst/>
        </a:prstGeom>
      </xdr:spPr>
    </xdr:pic>
    <xdr:clientData/>
  </xdr:twoCellAnchor>
  <xdr:twoCellAnchor editAs="oneCell">
    <xdr:from>
      <xdr:col>30</xdr:col>
      <xdr:colOff>101600</xdr:colOff>
      <xdr:row>67</xdr:row>
      <xdr:rowOff>84015</xdr:rowOff>
    </xdr:from>
    <xdr:to>
      <xdr:col>33</xdr:col>
      <xdr:colOff>600738</xdr:colOff>
      <xdr:row>68</xdr:row>
      <xdr:rowOff>123826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0650200" y="15518748"/>
          <a:ext cx="2585113" cy="2800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88"/>
  <sheetViews>
    <sheetView tabSelected="1" view="pageBreakPreview" zoomScaleNormal="100" zoomScaleSheetLayoutView="100" workbookViewId="0"/>
  </sheetViews>
  <sheetFormatPr defaultColWidth="9" defaultRowHeight="18" customHeight="1"/>
  <cols>
    <col min="1" max="1" customWidth="true" style="1" width="6.0" collapsed="false"/>
    <col min="2" max="2" customWidth="true" style="1" width="7.90625" collapsed="false"/>
    <col min="3" max="3" customWidth="true" style="1" width="10.08984375" collapsed="false"/>
    <col min="4" max="4" customWidth="true" style="1" width="16.0" collapsed="false"/>
    <col min="5" max="17" customWidth="true" style="1" width="9.08984375" collapsed="false"/>
    <col min="18" max="18" customWidth="true" style="1" width="7.6328125" collapsed="false"/>
    <col min="19" max="19" customWidth="true" style="1" width="6.90625" collapsed="false"/>
    <col min="20" max="20" customWidth="true" style="1" width="6.81640625" collapsed="false"/>
    <col min="21" max="21" customWidth="true" style="1" width="28.1796875" collapsed="false"/>
    <col min="22" max="34" customWidth="true" style="1" width="10.08984375" collapsed="false"/>
    <col min="35" max="35" customWidth="true" style="1" width="5.1796875" collapsed="false"/>
    <col min="36" max="16384" style="1" width="9.0" collapsed="false"/>
  </cols>
  <sheetData>
    <row r="2" spans="1:35" ht="30" customHeight="1" thickBot="1"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</row>
    <row r="3" spans="1:35" ht="18" customHeight="1" thickTop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</row>
    <row r="4" spans="1:35" ht="18" customHeight="1">
      <c r="B4" s="125" t="s">
        <v>0</v>
      </c>
      <c r="C4" s="126"/>
      <c r="D4" s="154" t="s">
        <v>73</v>
      </c>
      <c r="E4" s="155"/>
      <c r="F4" s="155"/>
      <c r="G4" s="155"/>
      <c r="H4" s="155"/>
      <c r="I4" s="155"/>
      <c r="J4" s="156"/>
      <c r="K4" s="161" t="s">
        <v>4</v>
      </c>
      <c r="L4" s="161"/>
      <c r="M4" s="153" t="s">
        <v>75</v>
      </c>
      <c r="N4" s="153"/>
      <c r="O4" s="154"/>
      <c r="P4" s="163" t="s">
        <v>60</v>
      </c>
      <c r="Q4" s="164"/>
      <c r="R4" s="156" t="s">
        <v>77</v>
      </c>
      <c r="S4" s="153"/>
      <c r="T4" s="154"/>
      <c r="U4" s="160" t="s">
        <v>5</v>
      </c>
      <c r="V4" s="156" t="s">
        <v>79</v>
      </c>
      <c r="W4" s="153"/>
      <c r="X4" s="153"/>
      <c r="Y4" s="153"/>
      <c r="Z4" s="162" t="s">
        <v>12</v>
      </c>
      <c r="AA4" s="162"/>
      <c r="AB4" s="153" t="s">
        <v>81</v>
      </c>
      <c r="AC4" s="153"/>
      <c r="AD4" s="153"/>
    </row>
    <row r="5" spans="1:35" ht="18" customHeight="1">
      <c r="B5" s="127" t="s">
        <v>1</v>
      </c>
      <c r="C5" s="128"/>
      <c r="D5" s="154" t="s">
        <v>74</v>
      </c>
      <c r="E5" s="155"/>
      <c r="F5" s="155"/>
      <c r="G5" s="155"/>
      <c r="H5" s="155"/>
      <c r="I5" s="155"/>
      <c r="J5" s="156"/>
      <c r="K5" s="157" t="s">
        <v>3</v>
      </c>
      <c r="L5" s="157"/>
      <c r="M5" s="153" t="s">
        <v>76</v>
      </c>
      <c r="N5" s="153"/>
      <c r="O5" s="154"/>
      <c r="P5" s="158" t="s">
        <v>2</v>
      </c>
      <c r="Q5" s="159"/>
      <c r="R5" s="156" t="s">
        <v>78</v>
      </c>
      <c r="S5" s="153"/>
      <c r="T5" s="154"/>
      <c r="U5" s="160"/>
      <c r="V5" s="156" t="s">
        <v>80</v>
      </c>
      <c r="W5" s="153"/>
      <c r="X5" s="153"/>
      <c r="Y5" s="153"/>
    </row>
    <row r="7" spans="1:35" ht="18" customHeight="1">
      <c r="B7" s="92" t="s">
        <v>13</v>
      </c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T7" s="92" t="s">
        <v>11</v>
      </c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1"/>
      <c r="AG7" s="13"/>
      <c r="AH7" s="13"/>
    </row>
    <row r="8" spans="1:35" ht="18" customHeight="1">
      <c r="T8" s="7" t="s">
        <v>61</v>
      </c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34" t="s">
        <v>32</v>
      </c>
      <c r="AH8" s="6"/>
    </row>
    <row r="9" spans="1:35" ht="18" customHeight="1">
      <c r="A9" s="131"/>
      <c r="B9" s="132"/>
      <c r="C9" s="133" t="s">
        <v>6</v>
      </c>
      <c r="D9" s="134"/>
      <c r="E9" s="73" t="s">
        <v>82</v>
      </c>
      <c r="F9" s="73" t="s">
        <v>82</v>
      </c>
      <c r="G9" s="73" t="s">
        <v>82</v>
      </c>
      <c r="H9" s="73" t="s">
        <v>82</v>
      </c>
      <c r="I9" s="73" t="s">
        <v>82</v>
      </c>
      <c r="J9" s="73" t="s">
        <v>82</v>
      </c>
      <c r="K9" s="73" t="s">
        <v>83</v>
      </c>
      <c r="L9" s="73" t="s">
        <v>83</v>
      </c>
      <c r="M9" s="73" t="s">
        <v>83</v>
      </c>
      <c r="N9" s="73" t="s">
        <v>83</v>
      </c>
      <c r="O9" s="73" t="s">
        <v>83</v>
      </c>
      <c r="P9" s="73" t="s">
        <v>83</v>
      </c>
      <c r="Q9" s="74" t="s">
        <v>83</v>
      </c>
      <c r="T9" s="2"/>
    </row>
    <row r="10" spans="1:35" ht="18" customHeight="1">
      <c r="A10" s="132"/>
      <c r="B10" s="132"/>
      <c r="C10" s="129" t="s">
        <v>7</v>
      </c>
      <c r="D10" s="130"/>
      <c r="E10" s="72" t="s">
        <v>84</v>
      </c>
      <c r="F10" s="72" t="s">
        <v>85</v>
      </c>
      <c r="G10" s="72" t="s">
        <v>86</v>
      </c>
      <c r="H10" s="72" t="s">
        <v>87</v>
      </c>
      <c r="I10" s="72" t="s">
        <v>88</v>
      </c>
      <c r="J10" s="72" t="s">
        <v>89</v>
      </c>
      <c r="K10" s="72" t="s">
        <v>90</v>
      </c>
      <c r="L10" s="72" t="s">
        <v>91</v>
      </c>
      <c r="M10" s="72" t="s">
        <v>92</v>
      </c>
      <c r="N10" s="72" t="s">
        <v>93</v>
      </c>
      <c r="O10" s="72" t="s">
        <v>94</v>
      </c>
      <c r="P10" s="72" t="s">
        <v>95</v>
      </c>
      <c r="Q10" s="75" t="s">
        <v>84</v>
      </c>
    </row>
    <row r="11" spans="1:35" ht="18" customHeight="1">
      <c r="A11" s="135" t="s">
        <v>64</v>
      </c>
      <c r="B11" s="136"/>
      <c r="C11" s="64" t="s">
        <v>55</v>
      </c>
      <c r="D11" s="46"/>
      <c r="E11" s="99" t="n">
        <v>402.0</v>
      </c>
      <c r="F11" s="68" t="n">
        <v>412.0</v>
      </c>
      <c r="G11" s="68" t="n">
        <v>338.0</v>
      </c>
      <c r="H11" s="68" t="n">
        <v>408.0</v>
      </c>
      <c r="I11" s="68" t="n">
        <v>374.0</v>
      </c>
      <c r="J11" s="68" t="n">
        <v>373.0</v>
      </c>
      <c r="K11" s="68" t="n">
        <v>807.0</v>
      </c>
      <c r="L11" s="68" t="n">
        <v>335.0</v>
      </c>
      <c r="M11" s="68" t="n">
        <v>432.0</v>
      </c>
      <c r="N11" s="68" t="n">
        <v>398.0</v>
      </c>
      <c r="O11" s="68" t="n">
        <v>552.0</v>
      </c>
      <c r="P11" s="68" t="n">
        <v>299.0</v>
      </c>
      <c r="Q11" s="68"/>
    </row>
    <row r="12" spans="1:35" ht="18" customHeight="1">
      <c r="A12" s="135"/>
      <c r="B12" s="136"/>
      <c r="C12" s="41" t="s">
        <v>67</v>
      </c>
      <c r="D12" s="42"/>
      <c r="E12" s="100" t="n">
        <v>91.0</v>
      </c>
      <c r="F12" s="81" t="n">
        <v>106.0</v>
      </c>
      <c r="G12" s="81" t="n">
        <v>81.0</v>
      </c>
      <c r="H12" s="81" t="n">
        <v>107.0</v>
      </c>
      <c r="I12" s="81" t="n">
        <v>83.0</v>
      </c>
      <c r="J12" s="81" t="n">
        <v>68.0</v>
      </c>
      <c r="K12" s="81" t="n">
        <v>125.0</v>
      </c>
      <c r="L12" s="81" t="n">
        <v>72.0</v>
      </c>
      <c r="M12" s="81" t="n">
        <v>104.0</v>
      </c>
      <c r="N12" s="81" t="n">
        <v>136.0</v>
      </c>
      <c r="O12" s="81" t="n">
        <v>125.0</v>
      </c>
      <c r="P12" s="81" t="n">
        <v>77.0</v>
      </c>
      <c r="Q12" s="81"/>
    </row>
    <row r="13" spans="1:35" ht="18" customHeight="1" thickBot="1">
      <c r="A13" s="137"/>
      <c r="B13" s="138"/>
      <c r="C13" s="45" t="s">
        <v>56</v>
      </c>
      <c r="D13" s="46"/>
      <c r="E13" s="100" t="n">
        <v>259.0</v>
      </c>
      <c r="F13" s="81" t="n">
        <v>301.0</v>
      </c>
      <c r="G13" s="81" t="n">
        <v>243.0</v>
      </c>
      <c r="H13" s="81" t="n">
        <v>314.0</v>
      </c>
      <c r="I13" s="81" t="n">
        <v>251.0</v>
      </c>
      <c r="J13" s="81" t="n">
        <v>228.0</v>
      </c>
      <c r="K13" s="81" t="n">
        <v>394.0</v>
      </c>
      <c r="L13" s="81" t="n">
        <v>220.0</v>
      </c>
      <c r="M13" s="81" t="n">
        <v>291.0</v>
      </c>
      <c r="N13" s="81" t="n">
        <v>389.0</v>
      </c>
      <c r="O13" s="81" t="n">
        <v>404.0</v>
      </c>
      <c r="P13" s="81" t="n">
        <v>237.0</v>
      </c>
      <c r="Q13" s="81"/>
    </row>
    <row r="14" spans="1:35" ht="18" customHeight="1">
      <c r="A14" s="135" t="s">
        <v>65</v>
      </c>
      <c r="B14" s="136"/>
      <c r="C14" s="43" t="s">
        <v>63</v>
      </c>
      <c r="D14" s="44"/>
      <c r="E14" s="100" t="n">
        <v>0.0</v>
      </c>
      <c r="F14" s="81" t="n">
        <v>1.0</v>
      </c>
      <c r="G14" s="81" t="n">
        <v>1.0</v>
      </c>
      <c r="H14" s="81" t="n">
        <v>0.0</v>
      </c>
      <c r="I14" s="81" t="n">
        <v>1.0</v>
      </c>
      <c r="J14" s="81" t="n">
        <v>4.0</v>
      </c>
      <c r="K14" s="81" t="n">
        <v>8.0</v>
      </c>
      <c r="L14" s="81" t="n">
        <v>2.0</v>
      </c>
      <c r="M14" s="81" t="n">
        <v>2.0</v>
      </c>
      <c r="N14" s="81" t="n">
        <v>0.0</v>
      </c>
      <c r="O14" s="81" t="n">
        <v>3.0</v>
      </c>
      <c r="P14" s="81" t="n">
        <v>1.0</v>
      </c>
      <c r="Q14" s="81"/>
    </row>
    <row r="15" spans="1:35" ht="18" customHeight="1">
      <c r="A15" s="135"/>
      <c r="B15" s="136"/>
      <c r="C15" s="45" t="s">
        <v>68</v>
      </c>
      <c r="D15" s="46"/>
      <c r="E15" s="100" t="n">
        <v>0.0</v>
      </c>
      <c r="F15" s="81" t="n">
        <v>1.0</v>
      </c>
      <c r="G15" s="81" t="n">
        <v>0.0</v>
      </c>
      <c r="H15" s="81" t="n">
        <v>0.0</v>
      </c>
      <c r="I15" s="81" t="n">
        <v>1.0</v>
      </c>
      <c r="J15" s="81" t="n">
        <v>3.0</v>
      </c>
      <c r="K15" s="81" t="n">
        <v>2.0</v>
      </c>
      <c r="L15" s="81" t="n">
        <v>1.0</v>
      </c>
      <c r="M15" s="81" t="n">
        <v>0.0</v>
      </c>
      <c r="N15" s="81" t="n">
        <v>0.0</v>
      </c>
      <c r="O15" s="81" t="n">
        <v>2.0</v>
      </c>
      <c r="P15" s="81" t="n">
        <v>0.0</v>
      </c>
      <c r="Q15" s="81"/>
    </row>
    <row r="16" spans="1:35" ht="18" customHeight="1" thickBot="1">
      <c r="A16" s="137"/>
      <c r="B16" s="138"/>
      <c r="C16" s="45" t="s">
        <v>56</v>
      </c>
      <c r="D16" s="46"/>
      <c r="E16" s="100" t="n">
        <v>0.0</v>
      </c>
      <c r="F16" s="81" t="n">
        <v>8.0</v>
      </c>
      <c r="G16" s="81" t="n">
        <v>0.0</v>
      </c>
      <c r="H16" s="81" t="n">
        <v>0.0</v>
      </c>
      <c r="I16" s="81" t="n">
        <v>14.0</v>
      </c>
      <c r="J16" s="81" t="n">
        <v>21.0</v>
      </c>
      <c r="K16" s="81" t="n">
        <v>10.0</v>
      </c>
      <c r="L16" s="81" t="n">
        <v>23.0</v>
      </c>
      <c r="M16" s="81" t="n">
        <v>0.0</v>
      </c>
      <c r="N16" s="81" t="n">
        <v>0.0</v>
      </c>
      <c r="O16" s="81" t="n">
        <v>19.0</v>
      </c>
      <c r="P16" s="81" t="n">
        <v>0.0</v>
      </c>
      <c r="Q16" s="81"/>
    </row>
    <row r="17" spans="1:34" ht="18" customHeight="1">
      <c r="A17" s="135" t="s">
        <v>66</v>
      </c>
      <c r="B17" s="136"/>
      <c r="C17" s="43" t="s">
        <v>63</v>
      </c>
      <c r="D17" s="44"/>
      <c r="E17" s="100" t="n">
        <v>402.0</v>
      </c>
      <c r="F17" s="81" t="n">
        <v>411.0</v>
      </c>
      <c r="G17" s="81" t="n">
        <v>337.0</v>
      </c>
      <c r="H17" s="81" t="n">
        <v>408.0</v>
      </c>
      <c r="I17" s="81" t="n">
        <v>373.0</v>
      </c>
      <c r="J17" s="81" t="n">
        <v>369.0</v>
      </c>
      <c r="K17" s="81" t="n">
        <v>799.0</v>
      </c>
      <c r="L17" s="81" t="n">
        <v>333.0</v>
      </c>
      <c r="M17" s="81" t="n">
        <v>430.0</v>
      </c>
      <c r="N17" s="81" t="n">
        <v>398.0</v>
      </c>
      <c r="O17" s="81" t="n">
        <v>549.0</v>
      </c>
      <c r="P17" s="81" t="n">
        <v>298.0</v>
      </c>
      <c r="Q17" s="81"/>
    </row>
    <row r="18" spans="1:34" ht="18" customHeight="1">
      <c r="A18" s="135"/>
      <c r="B18" s="136"/>
      <c r="C18" s="45" t="s">
        <v>68</v>
      </c>
      <c r="D18" s="46"/>
      <c r="E18" s="100" t="n">
        <v>91.0</v>
      </c>
      <c r="F18" s="81" t="n">
        <v>105.0</v>
      </c>
      <c r="G18" s="81" t="n">
        <v>81.0</v>
      </c>
      <c r="H18" s="81" t="n">
        <v>107.0</v>
      </c>
      <c r="I18" s="81" t="n">
        <v>82.0</v>
      </c>
      <c r="J18" s="81" t="n">
        <v>65.0</v>
      </c>
      <c r="K18" s="81" t="n">
        <v>123.0</v>
      </c>
      <c r="L18" s="81" t="n">
        <v>71.0</v>
      </c>
      <c r="M18" s="81" t="n">
        <v>104.0</v>
      </c>
      <c r="N18" s="81" t="n">
        <v>136.0</v>
      </c>
      <c r="O18" s="81" t="n">
        <v>123.0</v>
      </c>
      <c r="P18" s="81" t="n">
        <v>77.0</v>
      </c>
      <c r="Q18" s="81"/>
    </row>
    <row r="19" spans="1:34" ht="18" customHeight="1" thickBot="1">
      <c r="A19" s="137"/>
      <c r="B19" s="138"/>
      <c r="C19" s="47" t="s">
        <v>56</v>
      </c>
      <c r="D19" s="48"/>
      <c r="E19" s="100" t="n">
        <v>259.0</v>
      </c>
      <c r="F19" s="81" t="n">
        <v>293.0</v>
      </c>
      <c r="G19" s="81" t="n">
        <v>243.0</v>
      </c>
      <c r="H19" s="81" t="n">
        <v>314.0</v>
      </c>
      <c r="I19" s="81" t="n">
        <v>237.0</v>
      </c>
      <c r="J19" s="81" t="n">
        <v>207.0</v>
      </c>
      <c r="K19" s="81" t="n">
        <v>384.0</v>
      </c>
      <c r="L19" s="81" t="n">
        <v>197.0</v>
      </c>
      <c r="M19" s="81" t="n">
        <v>291.0</v>
      </c>
      <c r="N19" s="81" t="n">
        <v>389.0</v>
      </c>
      <c r="O19" s="81" t="n">
        <v>385.0</v>
      </c>
      <c r="P19" s="81" t="n">
        <v>237.0</v>
      </c>
      <c r="Q19" s="81"/>
    </row>
    <row r="20" spans="1:34" ht="18" customHeight="1">
      <c r="A20" s="145" t="s">
        <v>70</v>
      </c>
      <c r="B20" s="140"/>
      <c r="C20" s="43" t="s">
        <v>71</v>
      </c>
      <c r="D20" s="66"/>
      <c r="E20" s="101" t="n">
        <v>1.0</v>
      </c>
      <c r="F20" s="19" t="n">
        <v>1.0</v>
      </c>
      <c r="G20" s="19" t="n">
        <v>1.0</v>
      </c>
      <c r="H20" s="19" t="n">
        <v>4.0</v>
      </c>
      <c r="I20" s="19" t="n">
        <v>2.0</v>
      </c>
      <c r="J20" s="19" t="n">
        <v>4.0</v>
      </c>
      <c r="K20" s="19" t="n">
        <v>3.0</v>
      </c>
      <c r="L20" s="19" t="n">
        <v>1.0</v>
      </c>
      <c r="M20" s="19" t="n">
        <v>2.0</v>
      </c>
      <c r="N20" s="19" t="n">
        <v>4.0</v>
      </c>
      <c r="O20" s="19" t="n">
        <v>2.0</v>
      </c>
      <c r="P20" s="97" t="n">
        <v>3.0</v>
      </c>
      <c r="Q20" s="98"/>
    </row>
    <row r="21" spans="1:34" ht="18" customHeight="1" thickBot="1">
      <c r="A21" s="146"/>
      <c r="B21" s="138"/>
      <c r="C21" s="49" t="s">
        <v>72</v>
      </c>
      <c r="D21" s="50"/>
      <c r="E21" s="35" t="n">
        <v>9.0</v>
      </c>
      <c r="F21" s="36" t="n">
        <v>9.0</v>
      </c>
      <c r="G21" s="36" t="n">
        <v>9.0</v>
      </c>
      <c r="H21" s="36" t="n">
        <v>12.0</v>
      </c>
      <c r="I21" s="36" t="n">
        <v>7.0</v>
      </c>
      <c r="J21" s="36" t="n">
        <v>13.0</v>
      </c>
      <c r="K21" s="36" t="n">
        <v>22.0</v>
      </c>
      <c r="L21" s="36" t="n">
        <v>10.0</v>
      </c>
      <c r="M21" s="36" t="n">
        <v>14.0</v>
      </c>
      <c r="N21" s="36" t="n">
        <v>13.0</v>
      </c>
      <c r="O21" s="36" t="n">
        <v>21.0</v>
      </c>
      <c r="P21" s="36" t="n">
        <v>16.0</v>
      </c>
      <c r="Q21" s="36"/>
    </row>
    <row r="22" spans="1:34" ht="18" customHeight="1">
      <c r="A22" s="147" t="s">
        <v>58</v>
      </c>
      <c r="B22" s="148"/>
      <c r="C22" s="43" t="s">
        <v>29</v>
      </c>
      <c r="D22" s="66"/>
      <c r="E22" s="28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</row>
    <row r="23" spans="1:34" ht="18" customHeight="1">
      <c r="A23" s="149"/>
      <c r="B23" s="150"/>
      <c r="C23" s="41" t="s">
        <v>54</v>
      </c>
      <c r="D23" s="42"/>
      <c r="E23" s="30" t="n">
        <v>0.0</v>
      </c>
      <c r="F23" s="31" t="n">
        <v>0.0</v>
      </c>
      <c r="G23" s="31" t="n">
        <v>0.0</v>
      </c>
      <c r="H23" s="31" t="n">
        <v>0.0</v>
      </c>
      <c r="I23" s="31" t="n">
        <v>0.0</v>
      </c>
      <c r="J23" s="31" t="n">
        <v>0.0</v>
      </c>
      <c r="K23" s="31" t="n">
        <v>0.0</v>
      </c>
      <c r="L23" s="31" t="n">
        <v>0.0</v>
      </c>
      <c r="M23" s="31" t="n">
        <v>0.0</v>
      </c>
      <c r="N23" s="31" t="n">
        <v>0.0</v>
      </c>
      <c r="O23" s="31" t="n">
        <v>0.0</v>
      </c>
      <c r="P23" s="31" t="n">
        <v>0.0</v>
      </c>
      <c r="Q23" s="31"/>
      <c r="S23" s="10"/>
      <c r="T23" s="7" t="s">
        <v>62</v>
      </c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spans="1:34" ht="18" customHeight="1" thickBot="1">
      <c r="A24" s="151"/>
      <c r="B24" s="152"/>
      <c r="C24" s="49" t="s">
        <v>53</v>
      </c>
      <c r="D24" s="50"/>
      <c r="E24" s="35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</row>
    <row r="25" spans="1:34" ht="18" customHeight="1" thickBot="1">
      <c r="A25" s="123" t="s">
        <v>43</v>
      </c>
      <c r="B25" s="124"/>
      <c r="C25" s="43" t="s">
        <v>26</v>
      </c>
      <c r="D25" s="44"/>
      <c r="E25" s="28" t="n">
        <v>88.0</v>
      </c>
      <c r="F25" s="29" t="n">
        <v>92.0</v>
      </c>
      <c r="G25" s="29" t="n">
        <v>93.0</v>
      </c>
      <c r="H25" s="29" t="n">
        <v>97.0</v>
      </c>
      <c r="I25" s="29" t="n">
        <v>102.0</v>
      </c>
      <c r="J25" s="29" t="n">
        <v>106.0</v>
      </c>
      <c r="K25" s="29" t="n">
        <v>116.0</v>
      </c>
      <c r="L25" s="29" t="n">
        <v>119.0</v>
      </c>
      <c r="M25" s="29" t="n">
        <v>123.0</v>
      </c>
      <c r="N25" s="29" t="n">
        <v>130.0</v>
      </c>
      <c r="O25" s="29" t="n">
        <v>134.0</v>
      </c>
      <c r="P25" s="29" t="n">
        <v>137.0</v>
      </c>
      <c r="Q25" s="29"/>
    </row>
    <row r="26" spans="1:34" ht="18" customHeight="1" thickBot="1">
      <c r="A26" s="123"/>
      <c r="B26" s="124"/>
      <c r="C26" s="47" t="s">
        <v>27</v>
      </c>
      <c r="D26" s="48"/>
      <c r="E26" s="30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spans="1:34" ht="18" customHeight="1" thickBot="1">
      <c r="A27" s="123"/>
      <c r="B27" s="124"/>
      <c r="C27" s="71" t="s">
        <v>57</v>
      </c>
      <c r="D27" s="67"/>
      <c r="E27" s="32" t="n">
        <v>223.0</v>
      </c>
      <c r="F27" s="33" t="n">
        <v>223.0</v>
      </c>
      <c r="G27" s="33" t="n">
        <v>231.0</v>
      </c>
      <c r="H27" s="33" t="n">
        <v>234.0</v>
      </c>
      <c r="I27" s="33" t="n">
        <v>238.0</v>
      </c>
      <c r="J27" s="33" t="n">
        <v>241.0</v>
      </c>
      <c r="K27" s="33" t="n">
        <v>246.0</v>
      </c>
      <c r="L27" s="33" t="n">
        <v>251.0</v>
      </c>
      <c r="M27" s="33" t="n">
        <v>260.0</v>
      </c>
      <c r="N27" s="33" t="n">
        <v>264.0</v>
      </c>
      <c r="O27" s="33" t="n">
        <v>269.0</v>
      </c>
      <c r="P27" s="51" t="n">
        <v>269.0</v>
      </c>
      <c r="Q27" s="33"/>
    </row>
    <row r="28" spans="1:34" ht="18" customHeight="1">
      <c r="A28" s="139" t="s">
        <v>44</v>
      </c>
      <c r="B28" s="140"/>
      <c r="C28" s="65" t="s">
        <v>52</v>
      </c>
      <c r="D28" s="44"/>
      <c r="E28" s="7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</row>
    <row r="29" spans="1:34" ht="18" customHeight="1">
      <c r="A29" s="135"/>
      <c r="B29" s="136"/>
      <c r="C29" s="65" t="s">
        <v>69</v>
      </c>
      <c r="D29" s="66"/>
      <c r="E29" s="77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17"/>
      <c r="Q29" s="17"/>
    </row>
    <row r="30" spans="1:34" ht="18" customHeight="1">
      <c r="A30" s="135"/>
      <c r="B30" s="136"/>
      <c r="C30" s="45" t="s">
        <v>51</v>
      </c>
      <c r="D30" s="46"/>
      <c r="E30" s="78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52"/>
      <c r="Q30" s="52"/>
    </row>
    <row r="31" spans="1:34" ht="18" customHeight="1">
      <c r="A31" s="141"/>
      <c r="B31" s="142"/>
      <c r="C31" s="90" t="s">
        <v>45</v>
      </c>
      <c r="D31" s="91"/>
      <c r="E31" s="79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1"/>
      <c r="Q31" s="81"/>
    </row>
    <row r="33" spans="2:34" ht="18" customHeight="1">
      <c r="B33" s="92" t="s">
        <v>25</v>
      </c>
      <c r="C33" s="13"/>
      <c r="D33" s="12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5" spans="2:34" ht="18" customHeight="1">
      <c r="C35" s="143" t="s">
        <v>6</v>
      </c>
      <c r="D35" s="144"/>
      <c r="E35" s="60" t="s">
        <v>82</v>
      </c>
      <c r="F35" s="61" t="s">
        <v>82</v>
      </c>
      <c r="G35" s="61" t="s">
        <v>82</v>
      </c>
      <c r="H35" s="61" t="s">
        <v>82</v>
      </c>
      <c r="I35" s="61" t="s">
        <v>82</v>
      </c>
      <c r="J35" s="61" t="s">
        <v>82</v>
      </c>
      <c r="K35" s="61" t="s">
        <v>83</v>
      </c>
      <c r="L35" s="61" t="s">
        <v>83</v>
      </c>
      <c r="M35" s="61" t="s">
        <v>83</v>
      </c>
      <c r="N35" s="61" t="s">
        <v>83</v>
      </c>
      <c r="O35" s="61" t="s">
        <v>83</v>
      </c>
      <c r="P35" s="61" t="s">
        <v>83</v>
      </c>
      <c r="Q35" s="62" t="s">
        <v>83</v>
      </c>
    </row>
    <row r="36" spans="2:34" ht="18" customHeight="1">
      <c r="C36" s="115" t="s">
        <v>7</v>
      </c>
      <c r="D36" s="116"/>
      <c r="E36" s="24" t="s">
        <v>84</v>
      </c>
      <c r="F36" s="58" t="s">
        <v>85</v>
      </c>
      <c r="G36" s="58" t="s">
        <v>86</v>
      </c>
      <c r="H36" s="58" t="s">
        <v>87</v>
      </c>
      <c r="I36" s="58" t="s">
        <v>88</v>
      </c>
      <c r="J36" s="58" t="s">
        <v>89</v>
      </c>
      <c r="K36" s="58" t="s">
        <v>90</v>
      </c>
      <c r="L36" s="58" t="s">
        <v>91</v>
      </c>
      <c r="M36" s="58" t="s">
        <v>92</v>
      </c>
      <c r="N36" s="58" t="s">
        <v>93</v>
      </c>
      <c r="O36" s="58" t="s">
        <v>94</v>
      </c>
      <c r="P36" s="58" t="s">
        <v>95</v>
      </c>
      <c r="Q36" s="63" t="s">
        <v>84</v>
      </c>
    </row>
    <row r="37" spans="2:34" ht="18" customHeight="1">
      <c r="C37" s="115" t="s">
        <v>59</v>
      </c>
      <c r="D37" s="116"/>
      <c r="E37" s="104"/>
      <c r="F37" s="104"/>
      <c r="G37" s="104"/>
      <c r="H37" s="104"/>
      <c r="I37" s="104"/>
      <c r="J37" s="104"/>
      <c r="K37" s="104"/>
      <c r="L37" s="104"/>
      <c r="M37" s="104"/>
      <c r="N37" s="104"/>
      <c r="O37" s="104"/>
      <c r="P37" s="104"/>
      <c r="Q37" s="104"/>
    </row>
    <row r="38" spans="2:34" ht="18" customHeight="1">
      <c r="C38" s="115"/>
      <c r="D38" s="116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2:34" ht="18" customHeight="1">
      <c r="C39" s="117" t="s">
        <v>14</v>
      </c>
      <c r="D39" s="118"/>
      <c r="E39" s="104"/>
      <c r="F39" s="102"/>
      <c r="G39" s="102"/>
      <c r="H39" s="102"/>
      <c r="I39" s="102"/>
      <c r="J39" s="102"/>
      <c r="K39" s="102"/>
      <c r="L39" s="102"/>
      <c r="M39" s="102"/>
      <c r="N39" s="102"/>
      <c r="O39" s="102"/>
      <c r="P39" s="102"/>
      <c r="Q39" s="102"/>
      <c r="T39" s="110"/>
      <c r="U39" s="82" t="s">
        <v>6</v>
      </c>
      <c r="V39" s="73" t="s">
        <v>82</v>
      </c>
      <c r="W39" s="73" t="s">
        <v>82</v>
      </c>
      <c r="X39" s="73" t="s">
        <v>82</v>
      </c>
      <c r="Y39" s="73" t="s">
        <v>82</v>
      </c>
      <c r="Z39" s="73" t="s">
        <v>82</v>
      </c>
      <c r="AA39" s="73" t="s">
        <v>82</v>
      </c>
      <c r="AB39" s="73" t="s">
        <v>83</v>
      </c>
      <c r="AC39" s="73" t="s">
        <v>83</v>
      </c>
      <c r="AD39" s="73" t="s">
        <v>83</v>
      </c>
      <c r="AE39" s="73" t="s">
        <v>83</v>
      </c>
      <c r="AF39" s="73" t="s">
        <v>83</v>
      </c>
      <c r="AG39" s="73" t="s">
        <v>83</v>
      </c>
      <c r="AH39" s="74" t="s">
        <v>83</v>
      </c>
    </row>
    <row r="40" spans="2:34" ht="18" customHeight="1">
      <c r="C40" s="119"/>
      <c r="D40" s="120"/>
      <c r="E40" s="105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T40" s="110"/>
      <c r="U40" s="69" t="s">
        <v>7</v>
      </c>
      <c r="V40" s="59" t="s">
        <v>84</v>
      </c>
      <c r="W40" s="59" t="s">
        <v>85</v>
      </c>
      <c r="X40" s="59" t="s">
        <v>86</v>
      </c>
      <c r="Y40" s="59" t="s">
        <v>87</v>
      </c>
      <c r="Z40" s="59" t="s">
        <v>88</v>
      </c>
      <c r="AA40" s="59" t="s">
        <v>89</v>
      </c>
      <c r="AB40" s="59" t="s">
        <v>90</v>
      </c>
      <c r="AC40" s="59" t="s">
        <v>91</v>
      </c>
      <c r="AD40" s="59" t="s">
        <v>92</v>
      </c>
      <c r="AE40" s="59" t="s">
        <v>93</v>
      </c>
      <c r="AF40" s="59" t="s">
        <v>94</v>
      </c>
      <c r="AG40" s="59" t="s">
        <v>95</v>
      </c>
      <c r="AH40" s="83" t="s">
        <v>84</v>
      </c>
    </row>
    <row r="41" spans="2:34" ht="18" customHeight="1" thickBot="1">
      <c r="C41" s="117" t="s">
        <v>15</v>
      </c>
      <c r="D41" s="118"/>
      <c r="E41" s="104"/>
      <c r="F41" s="102"/>
      <c r="G41" s="102"/>
      <c r="H41" s="102"/>
      <c r="I41" s="102"/>
      <c r="J41" s="102"/>
      <c r="K41" s="102"/>
      <c r="L41" s="102"/>
      <c r="M41" s="102"/>
      <c r="N41" s="102"/>
      <c r="O41" s="102"/>
      <c r="P41" s="102"/>
      <c r="Q41" s="102"/>
      <c r="T41" s="110"/>
      <c r="U41" s="69" t="s">
        <v>18</v>
      </c>
      <c r="V41" s="93" t="s">
        <v>96</v>
      </c>
      <c r="W41" s="94" t="s">
        <v>76</v>
      </c>
      <c r="X41" s="94" t="s">
        <v>76</v>
      </c>
      <c r="Y41" s="94" t="s">
        <v>76</v>
      </c>
      <c r="Z41" s="94" t="s">
        <v>76</v>
      </c>
      <c r="AA41" s="94" t="s">
        <v>76</v>
      </c>
      <c r="AB41" s="94" t="s">
        <v>76</v>
      </c>
      <c r="AC41" s="94" t="s">
        <v>76</v>
      </c>
      <c r="AD41" s="94" t="s">
        <v>76</v>
      </c>
      <c r="AE41" s="94" t="s">
        <v>76</v>
      </c>
      <c r="AF41" s="94" t="s">
        <v>76</v>
      </c>
      <c r="AG41" s="94" t="s">
        <v>76</v>
      </c>
      <c r="AH41" s="95"/>
    </row>
    <row r="42" spans="2:34" ht="18" customHeight="1">
      <c r="C42" s="119"/>
      <c r="D42" s="120"/>
      <c r="E42" s="105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"/>
      <c r="T42" s="111" t="s">
        <v>36</v>
      </c>
      <c r="U42" s="25" t="s">
        <v>40</v>
      </c>
      <c r="V42" s="23" t="n">
        <v>899.0</v>
      </c>
      <c r="W42" s="23" t="n">
        <v>707.0</v>
      </c>
      <c r="X42" s="23" t="n">
        <v>632.0</v>
      </c>
      <c r="Y42" s="23" t="n">
        <v>975.0</v>
      </c>
      <c r="Z42" s="23" t="n">
        <v>906.0</v>
      </c>
      <c r="AA42" s="23" t="n">
        <v>882.0</v>
      </c>
      <c r="AB42" s="23" t="n">
        <v>1598.0</v>
      </c>
      <c r="AC42" s="23" t="n">
        <v>903.0</v>
      </c>
      <c r="AD42" s="23" t="n">
        <v>1217.0</v>
      </c>
      <c r="AE42" s="23" t="n">
        <v>1183.0</v>
      </c>
      <c r="AF42" s="23" t="n">
        <v>1408.0</v>
      </c>
      <c r="AG42" s="23" t="n">
        <v>1479.0</v>
      </c>
      <c r="AH42" s="23"/>
    </row>
    <row r="43" spans="2:34" ht="18" customHeight="1">
      <c r="C43" s="117" t="s">
        <v>16</v>
      </c>
      <c r="D43" s="118"/>
      <c r="E43" s="104"/>
      <c r="F43" s="102"/>
      <c r="G43" s="102"/>
      <c r="H43" s="102"/>
      <c r="I43" s="102"/>
      <c r="J43" s="102"/>
      <c r="K43" s="102"/>
      <c r="L43" s="102"/>
      <c r="M43" s="102"/>
      <c r="N43" s="102"/>
      <c r="O43" s="102"/>
      <c r="P43" s="102"/>
      <c r="Q43" s="102"/>
      <c r="T43" s="112"/>
      <c r="U43" s="70" t="s">
        <v>39</v>
      </c>
      <c r="V43" s="18" t="n">
        <v>490.0</v>
      </c>
      <c r="W43" s="18" t="n">
        <v>413.0</v>
      </c>
      <c r="X43" s="18" t="n">
        <v>372.0</v>
      </c>
      <c r="Y43" s="18" t="n">
        <v>550.0</v>
      </c>
      <c r="Z43" s="18" t="n">
        <v>500.0</v>
      </c>
      <c r="AA43" s="18" t="n">
        <v>377.0</v>
      </c>
      <c r="AB43" s="18" t="n">
        <v>659.0</v>
      </c>
      <c r="AC43" s="18" t="n">
        <v>449.0</v>
      </c>
      <c r="AD43" s="18" t="n">
        <v>681.0</v>
      </c>
      <c r="AE43" s="18" t="n">
        <v>659.0</v>
      </c>
      <c r="AF43" s="18" t="n">
        <v>585.0</v>
      </c>
      <c r="AG43" s="18" t="n">
        <v>433.0</v>
      </c>
      <c r="AH43" s="18"/>
    </row>
    <row r="44" spans="2:34" ht="18" customHeight="1">
      <c r="B44" s="3"/>
      <c r="C44" s="119"/>
      <c r="D44" s="120"/>
      <c r="E44" s="105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T44" s="112"/>
      <c r="U44" s="70" t="s">
        <v>38</v>
      </c>
      <c r="V44" s="18" t="n">
        <v>113.0</v>
      </c>
      <c r="W44" s="18" t="n">
        <v>101.0</v>
      </c>
      <c r="X44" s="18" t="n">
        <v>116.0</v>
      </c>
      <c r="Y44" s="18" t="n">
        <v>101.0</v>
      </c>
      <c r="Z44" s="18" t="n">
        <v>107.0</v>
      </c>
      <c r="AA44" s="18" t="n">
        <v>115.0</v>
      </c>
      <c r="AB44" s="18" t="n">
        <v>114.0</v>
      </c>
      <c r="AC44" s="18" t="n">
        <v>105.0</v>
      </c>
      <c r="AD44" s="18" t="n">
        <v>61.0</v>
      </c>
      <c r="AE44" s="18" t="n">
        <v>65.0</v>
      </c>
      <c r="AF44" s="18" t="n">
        <v>106.0</v>
      </c>
      <c r="AG44" s="18" t="n">
        <v>120.0</v>
      </c>
      <c r="AH44" s="18"/>
    </row>
    <row r="45" spans="2:34" ht="18.75" customHeight="1">
      <c r="B45" s="3"/>
      <c r="C45" s="117" t="s">
        <v>17</v>
      </c>
      <c r="D45" s="118"/>
      <c r="E45" s="104"/>
      <c r="F45" s="102"/>
      <c r="G45" s="102"/>
      <c r="H45" s="102"/>
      <c r="I45" s="102"/>
      <c r="J45" s="102"/>
      <c r="K45" s="102"/>
      <c r="L45" s="102"/>
      <c r="M45" s="102"/>
      <c r="N45" s="102"/>
      <c r="O45" s="102"/>
      <c r="P45" s="102"/>
      <c r="Q45" s="102"/>
      <c r="T45" s="112"/>
      <c r="U45" s="70" t="s">
        <v>37</v>
      </c>
      <c r="V45" s="18" t="n">
        <v>10.0</v>
      </c>
      <c r="W45" s="18" t="n">
        <v>13.0</v>
      </c>
      <c r="X45" s="18" t="n">
        <v>10.0</v>
      </c>
      <c r="Y45" s="18" t="n">
        <v>18.0</v>
      </c>
      <c r="Z45" s="18" t="n">
        <v>15.0</v>
      </c>
      <c r="AA45" s="18" t="n">
        <v>18.0</v>
      </c>
      <c r="AB45" s="18" t="n">
        <v>44.0</v>
      </c>
      <c r="AC45" s="18" t="n">
        <v>13.0</v>
      </c>
      <c r="AD45" s="18" t="n">
        <v>22.0</v>
      </c>
      <c r="AE45" s="18" t="n">
        <v>20.0</v>
      </c>
      <c r="AF45" s="18" t="n">
        <v>35.0</v>
      </c>
      <c r="AG45" s="18" t="n">
        <v>24.0</v>
      </c>
      <c r="AH45" s="18"/>
    </row>
    <row r="46" spans="2:34" ht="18.75" customHeight="1">
      <c r="B46" s="3"/>
      <c r="C46" s="119"/>
      <c r="D46" s="120"/>
      <c r="E46" s="105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T46" s="112"/>
      <c r="U46" s="70" t="s">
        <v>34</v>
      </c>
      <c r="V46" s="20" t="n">
        <f>IF(ISERROR(V45/V43),"",V45/V43)</f>
        <v>0.02040816326530612</v>
      </c>
      <c r="W46" s="20" t="n">
        <f t="shared" ref="W46:AH46" si="0">IF(ISERROR(W45/W43),"",W45/W43)</f>
        <v>0.031476997578692496</v>
      </c>
      <c r="X46" s="20" t="n">
        <f t="shared" si="0"/>
        <v>0.026881720430107527</v>
      </c>
      <c r="Y46" s="20" t="n">
        <f t="shared" si="0"/>
        <v>0.03272727272727273</v>
      </c>
      <c r="Z46" s="20" t="n">
        <f t="shared" si="0"/>
        <v>0.03</v>
      </c>
      <c r="AA46" s="20" t="n">
        <f t="shared" si="0"/>
        <v>0.04774535809018567</v>
      </c>
      <c r="AB46" s="20" t="n">
        <f t="shared" si="0"/>
        <v>0.06676783004552352</v>
      </c>
      <c r="AC46" s="20" t="n">
        <f t="shared" si="0"/>
        <v>0.028953229398663696</v>
      </c>
      <c r="AD46" s="20" t="n">
        <f t="shared" si="0"/>
        <v>0.032305433186490456</v>
      </c>
      <c r="AE46" s="20" t="n">
        <f t="shared" si="0"/>
        <v>0.030349013657056147</v>
      </c>
      <c r="AF46" s="20" t="n">
        <f t="shared" si="0"/>
        <v>0.05982905982905983</v>
      </c>
      <c r="AG46" s="20" t="n">
        <f t="shared" si="0"/>
        <v>0.05542725173210162</v>
      </c>
      <c r="AH46" s="20" t="str">
        <f t="shared" si="0"/>
        <v/>
      </c>
    </row>
    <row r="47" spans="2:34" ht="18.75" customHeight="1" thickBot="1">
      <c r="B47" s="3"/>
      <c r="C47" s="117" t="s">
        <v>49</v>
      </c>
      <c r="D47" s="118"/>
      <c r="E47" s="104"/>
      <c r="F47" s="102"/>
      <c r="G47" s="102"/>
      <c r="H47" s="102"/>
      <c r="I47" s="102"/>
      <c r="J47" s="102"/>
      <c r="K47" s="102"/>
      <c r="L47" s="102"/>
      <c r="M47" s="102"/>
      <c r="N47" s="102"/>
      <c r="O47" s="102"/>
      <c r="P47" s="102"/>
      <c r="Q47" s="102"/>
      <c r="T47" s="113"/>
      <c r="U47" s="16" t="s">
        <v>35</v>
      </c>
      <c r="V47" s="21" t="n">
        <v>0.12450689822435379</v>
      </c>
      <c r="W47" s="22" t="n">
        <v>0.11943621933460236</v>
      </c>
      <c r="X47" s="22" t="n">
        <v>0.125991091132164</v>
      </c>
      <c r="Y47" s="22" t="n">
        <v>0.12565749883651733</v>
      </c>
      <c r="Z47" s="22" t="n">
        <v>0.13603410124778748</v>
      </c>
      <c r="AA47" s="22" t="n">
        <v>0.14992350339889526</v>
      </c>
      <c r="AB47" s="22" t="n">
        <v>0.11938481032848358</v>
      </c>
      <c r="AC47" s="22" t="n">
        <v>0.12352785468101501</v>
      </c>
      <c r="AD47" s="22" t="n">
        <v>0.12755431234836578</v>
      </c>
      <c r="AE47" s="22" t="n">
        <v>0.13610589504241943</v>
      </c>
      <c r="AF47" s="22" t="n">
        <v>0.12797658145427704</v>
      </c>
      <c r="AG47" s="22" t="n">
        <v>0.1407564878463745</v>
      </c>
      <c r="AH47" s="85"/>
    </row>
    <row r="48" spans="2:34" ht="18.75" customHeight="1">
      <c r="B48" s="8"/>
      <c r="C48" s="121"/>
      <c r="D48" s="122"/>
      <c r="E48" s="105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T48" s="114" t="s">
        <v>46</v>
      </c>
      <c r="U48" s="25" t="s">
        <v>40</v>
      </c>
      <c r="V48" s="23" t="n">
        <v>3729.0</v>
      </c>
      <c r="W48" s="23" t="n">
        <v>3903.0</v>
      </c>
      <c r="X48" s="23" t="n">
        <v>3442.0</v>
      </c>
      <c r="Y48" s="23" t="n">
        <v>4053.0</v>
      </c>
      <c r="Z48" s="23" t="n">
        <v>3640.0</v>
      </c>
      <c r="AA48" s="23" t="n">
        <v>3316.0</v>
      </c>
      <c r="AB48" s="23" t="n">
        <v>5947.0</v>
      </c>
      <c r="AC48" s="23" t="n">
        <v>3877.0</v>
      </c>
      <c r="AD48" s="23" t="n">
        <v>4112.0</v>
      </c>
      <c r="AE48" s="23" t="n">
        <v>4219.0</v>
      </c>
      <c r="AF48" s="23" t="n">
        <v>5179.0</v>
      </c>
      <c r="AG48" s="23" t="n">
        <v>3302.0</v>
      </c>
      <c r="AH48" s="23"/>
    </row>
    <row r="49" spans="1:35" ht="18.75" customHeight="1">
      <c r="A49" s="8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8"/>
      <c r="T49" s="112"/>
      <c r="U49" s="70" t="s">
        <v>39</v>
      </c>
      <c r="V49" s="18" t="n">
        <v>1398.0</v>
      </c>
      <c r="W49" s="18" t="n">
        <v>1644.0</v>
      </c>
      <c r="X49" s="18" t="n">
        <v>1435.0</v>
      </c>
      <c r="Y49" s="18" t="n">
        <v>1738.0</v>
      </c>
      <c r="Z49" s="18" t="n">
        <v>1573.0</v>
      </c>
      <c r="AA49" s="18" t="n">
        <v>1463.0</v>
      </c>
      <c r="AB49" s="18" t="n">
        <v>2671.0</v>
      </c>
      <c r="AC49" s="18" t="n">
        <v>1631.0</v>
      </c>
      <c r="AD49" s="18" t="n">
        <v>1864.0</v>
      </c>
      <c r="AE49" s="18" t="n">
        <v>1828.0</v>
      </c>
      <c r="AF49" s="18" t="n">
        <v>2266.0</v>
      </c>
      <c r="AG49" s="18" t="n">
        <v>1393.0</v>
      </c>
      <c r="AH49" s="18"/>
    </row>
    <row r="50" spans="1:35" ht="18.75" customHeight="1">
      <c r="B50" s="5"/>
      <c r="C50" s="3"/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T50" s="112"/>
      <c r="U50" s="70" t="s">
        <v>41</v>
      </c>
      <c r="V50" s="18" t="n">
        <v>141.0</v>
      </c>
      <c r="W50" s="18" t="n">
        <v>82.0</v>
      </c>
      <c r="X50" s="18" t="n">
        <v>87.0</v>
      </c>
      <c r="Y50" s="18" t="n">
        <v>91.0</v>
      </c>
      <c r="Z50" s="18" t="n">
        <v>101.0</v>
      </c>
      <c r="AA50" s="18" t="n">
        <v>101.0</v>
      </c>
      <c r="AB50" s="18" t="n">
        <v>85.0</v>
      </c>
      <c r="AC50" s="18" t="n">
        <v>85.0</v>
      </c>
      <c r="AD50" s="18" t="n">
        <v>80.0</v>
      </c>
      <c r="AE50" s="18" t="n">
        <v>79.0</v>
      </c>
      <c r="AF50" s="18" t="n">
        <v>81.0</v>
      </c>
      <c r="AG50" s="18" t="n">
        <v>97.0</v>
      </c>
      <c r="AH50" s="18"/>
    </row>
    <row r="51" spans="1:35" ht="18.75" customHeight="1">
      <c r="C51" s="5"/>
      <c r="D51" s="5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T51" s="112"/>
      <c r="U51" s="70" t="s">
        <v>42</v>
      </c>
      <c r="V51" s="18" t="n">
        <v>0.0</v>
      </c>
      <c r="W51" s="18" t="n">
        <v>0.0</v>
      </c>
      <c r="X51" s="18" t="n">
        <v>0.0</v>
      </c>
      <c r="Y51" s="18" t="n">
        <v>0.0</v>
      </c>
      <c r="Z51" s="18" t="n">
        <v>0.0</v>
      </c>
      <c r="AA51" s="18" t="n">
        <v>0.0</v>
      </c>
      <c r="AB51" s="18" t="n">
        <v>0.0</v>
      </c>
      <c r="AC51" s="18" t="n">
        <v>0.0</v>
      </c>
      <c r="AD51" s="18" t="n">
        <v>0.0</v>
      </c>
      <c r="AE51" s="18" t="n">
        <v>0.0</v>
      </c>
      <c r="AF51" s="18" t="n">
        <v>0.0</v>
      </c>
      <c r="AG51" s="18" t="n">
        <v>0.0</v>
      </c>
      <c r="AH51" s="18"/>
    </row>
    <row r="52" spans="1:35" ht="18.75" customHeight="1">
      <c r="T52" s="112"/>
      <c r="U52" s="70" t="s">
        <v>33</v>
      </c>
      <c r="V52" s="20" t="n">
        <f t="shared" ref="V52:AH52" si="1">IF(ISERROR(V51/V49),"",V51/V49)</f>
        <v>0.0</v>
      </c>
      <c r="W52" s="20" t="n">
        <f t="shared" si="1"/>
        <v>0.0</v>
      </c>
      <c r="X52" s="20" t="n">
        <f t="shared" si="1"/>
        <v>0.0</v>
      </c>
      <c r="Y52" s="20" t="n">
        <f t="shared" si="1"/>
        <v>0.0</v>
      </c>
      <c r="Z52" s="20" t="n">
        <f t="shared" si="1"/>
        <v>0.0</v>
      </c>
      <c r="AA52" s="20" t="n">
        <f t="shared" si="1"/>
        <v>0.0</v>
      </c>
      <c r="AB52" s="20" t="n">
        <f t="shared" si="1"/>
        <v>0.0</v>
      </c>
      <c r="AC52" s="20" t="n">
        <f t="shared" si="1"/>
        <v>0.0</v>
      </c>
      <c r="AD52" s="20" t="n">
        <f t="shared" si="1"/>
        <v>0.0</v>
      </c>
      <c r="AE52" s="20" t="n">
        <f t="shared" si="1"/>
        <v>0.0</v>
      </c>
      <c r="AF52" s="20" t="n">
        <f t="shared" si="1"/>
        <v>0.0</v>
      </c>
      <c r="AG52" s="20" t="n">
        <f t="shared" si="1"/>
        <v>0.0</v>
      </c>
      <c r="AH52" s="84" t="str">
        <f t="shared" si="1"/>
        <v/>
      </c>
    </row>
    <row r="53" spans="1:35" ht="18.75" customHeight="1" thickBot="1">
      <c r="T53" s="113"/>
      <c r="U53" s="86" t="s">
        <v>28</v>
      </c>
      <c r="V53" s="87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9"/>
    </row>
    <row r="54" spans="1:35" ht="18.75" customHeight="1"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</row>
    <row r="55" spans="1:35" ht="18.75" customHeight="1"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</row>
    <row r="56" spans="1:35" ht="18.75" customHeight="1"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</row>
    <row r="57" spans="1:35" ht="18.75" customHeight="1"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</row>
    <row r="58" spans="1:35" ht="18.75" customHeight="1"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</row>
    <row r="59" spans="1:35" ht="18.75" customHeight="1"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</row>
    <row r="60" spans="1:35" ht="18.75" customHeight="1"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</row>
    <row r="61" spans="1:35" ht="18.75" customHeight="1"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</row>
    <row r="62" spans="1:35" ht="18.75" customHeight="1"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</row>
    <row r="63" spans="1:35" ht="18.75" customHeight="1"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</row>
    <row r="64" spans="1:35" ht="18.75" customHeight="1"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</row>
    <row r="65" spans="3:35" ht="18.75" customHeight="1"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</row>
    <row r="66" spans="3:35" ht="18.75" customHeight="1"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</row>
    <row r="67" spans="3:35" ht="18.75" customHeight="1"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</row>
    <row r="68" spans="3:35" ht="18.75" customHeight="1"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</row>
    <row r="69" spans="3:35" ht="18.75" customHeight="1"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</row>
    <row r="70" spans="3:35" ht="21" customHeight="1"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</row>
    <row r="71" spans="3:35" ht="21" customHeight="1"/>
    <row r="72" spans="3:35" ht="21" customHeight="1">
      <c r="E72" s="1" t="str">
        <f>E9</f>
        <v>2025年</v>
      </c>
      <c r="F72" s="1" t="str">
        <f t="shared" ref="F72:Q72" si="2">IF(F9="",E72,F9)</f>
        <v>2025年</v>
      </c>
      <c r="G72" s="1" t="str">
        <f t="shared" si="2"/>
        <v>2025年</v>
      </c>
      <c r="H72" s="1" t="str">
        <f t="shared" si="2"/>
        <v>2025年</v>
      </c>
      <c r="I72" s="1" t="str">
        <f t="shared" si="2"/>
        <v>2025年</v>
      </c>
      <c r="J72" s="1" t="str">
        <f t="shared" si="2"/>
        <v>2025年</v>
      </c>
      <c r="K72" s="1" t="str">
        <f t="shared" si="2"/>
        <v>2026年</v>
      </c>
      <c r="L72" s="1" t="str">
        <f t="shared" si="2"/>
        <v>2026年</v>
      </c>
      <c r="M72" s="1" t="str">
        <f t="shared" si="2"/>
        <v>2026年</v>
      </c>
      <c r="N72" s="1" t="str">
        <f t="shared" si="2"/>
        <v>2026年</v>
      </c>
      <c r="O72" s="1" t="str">
        <f t="shared" si="2"/>
        <v>2026年</v>
      </c>
      <c r="P72" s="1" t="str">
        <f t="shared" si="2"/>
        <v>2026年</v>
      </c>
      <c r="Q72" s="1" t="str">
        <f t="shared" si="2"/>
        <v>2026年</v>
      </c>
    </row>
    <row r="73" spans="3:35" ht="21" customHeight="1">
      <c r="E73" s="1" t="str">
        <f>E10</f>
        <v>07月号</v>
      </c>
      <c r="F73" s="1" t="str">
        <f t="shared" ref="F73:Q73" si="3">F10</f>
        <v>08月号</v>
      </c>
      <c r="G73" s="1" t="str">
        <f t="shared" si="3"/>
        <v>09月号</v>
      </c>
      <c r="H73" s="1" t="str">
        <f t="shared" si="3"/>
        <v>10月号</v>
      </c>
      <c r="I73" s="1" t="str">
        <f t="shared" si="3"/>
        <v>11月号</v>
      </c>
      <c r="J73" s="1" t="str">
        <f t="shared" si="3"/>
        <v>12月号</v>
      </c>
      <c r="K73" s="1" t="str">
        <f t="shared" si="3"/>
        <v>01月号</v>
      </c>
      <c r="L73" s="1" t="str">
        <f t="shared" si="3"/>
        <v>02月号</v>
      </c>
      <c r="M73" s="1" t="str">
        <f t="shared" si="3"/>
        <v>03月号</v>
      </c>
      <c r="N73" s="1" t="str">
        <f t="shared" si="3"/>
        <v>04月号</v>
      </c>
      <c r="O73" s="1" t="str">
        <f t="shared" si="3"/>
        <v>05月号</v>
      </c>
      <c r="P73" s="1" t="str">
        <f t="shared" si="3"/>
        <v>06月号</v>
      </c>
      <c r="Q73" s="1" t="str">
        <f t="shared" si="3"/>
        <v>07月号</v>
      </c>
    </row>
    <row r="74" spans="3:35" ht="21" customHeight="1">
      <c r="E74" s="38" t="str">
        <f>LEFT(E72,4) &amp; LEFT(E73,2)</f>
        <v>202507</v>
      </c>
      <c r="F74" s="38" t="str">
        <f t="shared" ref="F74:Q74" si="4">LEFT(F72,4) &amp; LEFT(F73,2)</f>
        <v>202508</v>
      </c>
      <c r="G74" s="38" t="str">
        <f t="shared" si="4"/>
        <v>202509</v>
      </c>
      <c r="H74" s="38" t="str">
        <f t="shared" si="4"/>
        <v>202510</v>
      </c>
      <c r="I74" s="38" t="str">
        <f t="shared" si="4"/>
        <v>202511</v>
      </c>
      <c r="J74" s="38" t="str">
        <f t="shared" si="4"/>
        <v>202512</v>
      </c>
      <c r="K74" s="38" t="str">
        <f t="shared" si="4"/>
        <v>202601</v>
      </c>
      <c r="L74" s="38" t="str">
        <f t="shared" si="4"/>
        <v>202602</v>
      </c>
      <c r="M74" s="38" t="str">
        <f t="shared" si="4"/>
        <v>202603</v>
      </c>
      <c r="N74" s="38" t="str">
        <f t="shared" si="4"/>
        <v>202604</v>
      </c>
      <c r="O74" s="38" t="str">
        <f t="shared" si="4"/>
        <v>202605</v>
      </c>
      <c r="P74" s="38" t="str">
        <f t="shared" si="4"/>
        <v>202606</v>
      </c>
      <c r="Q74" s="38" t="str">
        <f t="shared" si="4"/>
        <v>202607</v>
      </c>
      <c r="T74" s="14" t="s">
        <v>30</v>
      </c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3:35" ht="21" customHeight="1">
      <c r="T75" s="109"/>
      <c r="U75" s="15" t="s">
        <v>6</v>
      </c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</row>
    <row r="76" spans="3:35" ht="21" customHeight="1">
      <c r="T76" s="109"/>
      <c r="U76" s="15" t="s">
        <v>7</v>
      </c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</row>
    <row r="77" spans="3:35" ht="21" customHeight="1">
      <c r="C77" s="55" t="s">
        <v>48</v>
      </c>
      <c r="D77" s="56" t="s">
        <v>8</v>
      </c>
      <c r="E77" s="54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T77" s="106" t="s">
        <v>19</v>
      </c>
      <c r="U77" s="15" t="s">
        <v>20</v>
      </c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</row>
    <row r="78" spans="3:35" ht="21" customHeight="1">
      <c r="C78" s="55"/>
      <c r="D78" s="56" t="s">
        <v>9</v>
      </c>
      <c r="E78" s="54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T78" s="107"/>
      <c r="U78" s="15" t="s">
        <v>21</v>
      </c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</row>
    <row r="79" spans="3:35" ht="21" customHeight="1">
      <c r="C79" s="55"/>
      <c r="D79" s="56" t="s">
        <v>10</v>
      </c>
      <c r="E79" s="54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T79" s="107"/>
      <c r="U79" s="15" t="s">
        <v>22</v>
      </c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</row>
    <row r="80" spans="3:35" ht="21" customHeight="1">
      <c r="C80" s="55"/>
      <c r="D80" s="56" t="s">
        <v>31</v>
      </c>
      <c r="E80" s="54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T80" s="107"/>
      <c r="U80" s="15" t="s">
        <v>23</v>
      </c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</row>
    <row r="81" spans="20:34" ht="15" customHeight="1">
      <c r="T81" s="107"/>
      <c r="U81" s="57" t="s">
        <v>50</v>
      </c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</row>
    <row r="82" spans="20:34" ht="15" customHeight="1">
      <c r="T82" s="108"/>
      <c r="U82" s="15" t="s">
        <v>24</v>
      </c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</row>
    <row r="83" spans="20:34" ht="18" customHeight="1">
      <c r="T83" s="106" t="s">
        <v>47</v>
      </c>
      <c r="U83" s="53" t="s">
        <v>20</v>
      </c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</row>
    <row r="84" spans="20:34" ht="18" customHeight="1">
      <c r="T84" s="107"/>
      <c r="U84" s="53" t="s">
        <v>21</v>
      </c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</row>
    <row r="85" spans="20:34" ht="18" customHeight="1">
      <c r="T85" s="107"/>
      <c r="U85" s="53" t="s">
        <v>22</v>
      </c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</row>
    <row r="86" spans="20:34" ht="18" customHeight="1">
      <c r="T86" s="107"/>
      <c r="U86" s="53" t="s">
        <v>23</v>
      </c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</row>
    <row r="87" spans="20:34" ht="18" customHeight="1">
      <c r="T87" s="107"/>
      <c r="U87" s="57" t="s">
        <v>50</v>
      </c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</row>
    <row r="88" spans="20:34" ht="18" customHeight="1">
      <c r="T88" s="108"/>
      <c r="U88" s="53" t="s">
        <v>24</v>
      </c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</row>
  </sheetData>
  <mergeCells count="119">
    <mergeCell ref="P47:P48"/>
    <mergeCell ref="O45:O46"/>
    <mergeCell ref="H41:H42"/>
    <mergeCell ref="I41:I42"/>
    <mergeCell ref="I45:I46"/>
    <mergeCell ref="P45:P46"/>
    <mergeCell ref="N47:N48"/>
    <mergeCell ref="M47:M48"/>
    <mergeCell ref="P43:P44"/>
    <mergeCell ref="M43:M44"/>
    <mergeCell ref="I43:I44"/>
    <mergeCell ref="L47:L48"/>
    <mergeCell ref="N43:N44"/>
    <mergeCell ref="O43:O44"/>
    <mergeCell ref="J43:J44"/>
    <mergeCell ref="K43:K44"/>
    <mergeCell ref="N45:N46"/>
    <mergeCell ref="O47:O48"/>
    <mergeCell ref="L43:L44"/>
    <mergeCell ref="M45:M46"/>
    <mergeCell ref="L45:L46"/>
    <mergeCell ref="H45:H46"/>
    <mergeCell ref="K47:K48"/>
    <mergeCell ref="AB4:AD4"/>
    <mergeCell ref="D5:J5"/>
    <mergeCell ref="K5:L5"/>
    <mergeCell ref="M5:O5"/>
    <mergeCell ref="P5:Q5"/>
    <mergeCell ref="R5:T5"/>
    <mergeCell ref="V5:Y5"/>
    <mergeCell ref="U4:U5"/>
    <mergeCell ref="D4:J4"/>
    <mergeCell ref="K4:L4"/>
    <mergeCell ref="Z4:AA4"/>
    <mergeCell ref="M4:O4"/>
    <mergeCell ref="P4:Q4"/>
    <mergeCell ref="R4:T4"/>
    <mergeCell ref="V4:Y4"/>
    <mergeCell ref="I37:I38"/>
    <mergeCell ref="J37:J38"/>
    <mergeCell ref="A25:B27"/>
    <mergeCell ref="B4:C4"/>
    <mergeCell ref="B5:C5"/>
    <mergeCell ref="C10:D10"/>
    <mergeCell ref="A9:B10"/>
    <mergeCell ref="C9:D9"/>
    <mergeCell ref="A11:B13"/>
    <mergeCell ref="A14:B16"/>
    <mergeCell ref="A17:B19"/>
    <mergeCell ref="A28:B31"/>
    <mergeCell ref="C35:D35"/>
    <mergeCell ref="C36:D36"/>
    <mergeCell ref="A20:B21"/>
    <mergeCell ref="A22:B24"/>
    <mergeCell ref="H37:H38"/>
    <mergeCell ref="G37:G38"/>
    <mergeCell ref="L37:L38"/>
    <mergeCell ref="M37:M38"/>
    <mergeCell ref="L39:L40"/>
    <mergeCell ref="M39:M40"/>
    <mergeCell ref="P39:P40"/>
    <mergeCell ref="L41:L42"/>
    <mergeCell ref="M41:M42"/>
    <mergeCell ref="N41:N42"/>
    <mergeCell ref="J41:J42"/>
    <mergeCell ref="O41:O42"/>
    <mergeCell ref="P41:P42"/>
    <mergeCell ref="N39:N40"/>
    <mergeCell ref="O39:O40"/>
    <mergeCell ref="O37:O38"/>
    <mergeCell ref="N37:N38"/>
    <mergeCell ref="P37:P38"/>
    <mergeCell ref="K37:K38"/>
    <mergeCell ref="C37:D38"/>
    <mergeCell ref="C39:D40"/>
    <mergeCell ref="C41:D42"/>
    <mergeCell ref="C47:D48"/>
    <mergeCell ref="E37:E38"/>
    <mergeCell ref="F37:F38"/>
    <mergeCell ref="E39:E40"/>
    <mergeCell ref="E47:E48"/>
    <mergeCell ref="F47:F48"/>
    <mergeCell ref="E45:E46"/>
    <mergeCell ref="F45:F46"/>
    <mergeCell ref="F41:F42"/>
    <mergeCell ref="F39:F40"/>
    <mergeCell ref="C43:D44"/>
    <mergeCell ref="C45:D46"/>
    <mergeCell ref="E43:E44"/>
    <mergeCell ref="T83:T88"/>
    <mergeCell ref="T77:T82"/>
    <mergeCell ref="Q37:Q38"/>
    <mergeCell ref="Q39:Q40"/>
    <mergeCell ref="Q41:Q42"/>
    <mergeCell ref="Q43:Q44"/>
    <mergeCell ref="Q45:Q46"/>
    <mergeCell ref="Q47:Q48"/>
    <mergeCell ref="T75:T76"/>
    <mergeCell ref="T39:T41"/>
    <mergeCell ref="T42:T47"/>
    <mergeCell ref="T48:T53"/>
    <mergeCell ref="F43:F44"/>
    <mergeCell ref="E41:E42"/>
    <mergeCell ref="K45:K46"/>
    <mergeCell ref="K39:K40"/>
    <mergeCell ref="J39:J40"/>
    <mergeCell ref="I39:I40"/>
    <mergeCell ref="J45:J46"/>
    <mergeCell ref="K41:K42"/>
    <mergeCell ref="I47:I48"/>
    <mergeCell ref="J47:J48"/>
    <mergeCell ref="G47:G48"/>
    <mergeCell ref="G41:G42"/>
    <mergeCell ref="G39:G40"/>
    <mergeCell ref="H39:H40"/>
    <mergeCell ref="G43:G44"/>
    <mergeCell ref="H43:H44"/>
    <mergeCell ref="H47:H48"/>
    <mergeCell ref="G45:G46"/>
    <mergeCell ref="V38:AA38"/>
    <mergeCell ref="AB38:AH38"/>
    <mergeCell ref="E9:J9"/>
    <mergeCell ref="K9:Q9"/>
    <mergeCell ref="E34:J34"/>
    <mergeCell ref="K34:Q34"/>
  </mergeCells>
  <phoneticPr fontId="1"/>
  <conditionalFormatting sqref="E29:E31">
    <cfRule type="expression" dxfId="12" priority="1">
      <formula>$E$74 &lt; "201005"</formula>
    </cfRule>
  </conditionalFormatting>
  <conditionalFormatting sqref="F29:F31">
    <cfRule type="expression" dxfId="11" priority="2">
      <formula>$F$74 &lt; "201005"</formula>
    </cfRule>
  </conditionalFormatting>
  <conditionalFormatting sqref="G29:G31">
    <cfRule type="expression" dxfId="10" priority="3">
      <formula>$G$74 &lt; "201005"</formula>
    </cfRule>
  </conditionalFormatting>
  <conditionalFormatting sqref="H29:H31">
    <cfRule type="expression" dxfId="9" priority="4">
      <formula>$H$74 &lt; "201005"</formula>
    </cfRule>
  </conditionalFormatting>
  <conditionalFormatting sqref="I29:I31">
    <cfRule type="expression" dxfId="8" priority="5">
      <formula>$I$74 &lt; "201005"</formula>
    </cfRule>
  </conditionalFormatting>
  <conditionalFormatting sqref="J29:J31">
    <cfRule type="expression" dxfId="7" priority="6">
      <formula>$J$74 &lt; "201005"</formula>
    </cfRule>
  </conditionalFormatting>
  <conditionalFormatting sqref="K29:K31">
    <cfRule type="expression" dxfId="6" priority="7">
      <formula>$K$74 &lt; "201005"</formula>
    </cfRule>
  </conditionalFormatting>
  <conditionalFormatting sqref="L29:L31">
    <cfRule type="expression" dxfId="5" priority="8">
      <formula>$L$74 &lt; "201005"</formula>
    </cfRule>
  </conditionalFormatting>
  <conditionalFormatting sqref="M29:M31">
    <cfRule type="expression" dxfId="4" priority="9">
      <formula>$M$74 &lt; "201005"</formula>
    </cfRule>
  </conditionalFormatting>
  <conditionalFormatting sqref="N29:N31">
    <cfRule type="expression" dxfId="3" priority="10">
      <formula>$N$74 &lt; "201005"</formula>
    </cfRule>
  </conditionalFormatting>
  <conditionalFormatting sqref="O29:O31">
    <cfRule type="expression" dxfId="2" priority="11">
      <formula>$O$74 &lt; "201005"</formula>
    </cfRule>
  </conditionalFormatting>
  <conditionalFormatting sqref="P29:P31">
    <cfRule type="expression" dxfId="1" priority="12">
      <formula>$P$74 &lt; "201005"</formula>
    </cfRule>
  </conditionalFormatting>
  <conditionalFormatting sqref="Q29:Q31">
    <cfRule type="expression" dxfId="0" priority="13">
      <formula>$Q$74 &lt; "201005"</formula>
    </cfRule>
  </conditionalFormatting>
  <printOptions horizontalCentered="1"/>
  <pageMargins left="0.19685039370078741" right="0.11811023622047245" top="0.23622047244094491" bottom="0.11811023622047245" header="0.31496062992125984" footer="0.19685039370078741"/>
  <pageSetup paperSize="8" scale="6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01＿集客・アクセスレポート</vt:lpstr>
      <vt:lpstr>'01＿集客・アクセスレポート'!Print_Area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2009-09-23T02:42:32Z</dcterms:created>
  <dc:creator>髙橋 祐樹</dc:creator>
  <lastModifiedBy>齊藤 巧</lastModifiedBy>
  <lastPrinted>2009-09-23T02:42:32Z</lastPrinted>
  <dcterms:modified xsi:type="dcterms:W3CDTF">2025-10-13T03:31:41Z</dcterms:modified>
</coreProperties>
</file>